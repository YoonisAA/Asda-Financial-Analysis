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23d63d1c4140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w Data" sheetId="1" r:id="Rd50c45300fec4d6c"/>
    <x:sheet xmlns:r="http://schemas.openxmlformats.org/officeDocument/2006/relationships" name="Income Statement" sheetId="2" r:id="Rc6a7a54f4a694b25"/>
    <x:sheet xmlns:r="http://schemas.openxmlformats.org/officeDocument/2006/relationships" name="Balance Sheet" sheetId="3" r:id="Rca7d69dd0ee947c7"/>
    <x:sheet xmlns:r="http://schemas.openxmlformats.org/officeDocument/2006/relationships" name="Cash Flow" sheetId="4" r:id="R7753247c66f84301"/>
    <x:sheet xmlns:r="http://schemas.openxmlformats.org/officeDocument/2006/relationships" name="Ratio Analysis" sheetId="5" r:id="R6adeb6a0c77243fb"/>
    <x:sheet xmlns:r="http://schemas.openxmlformats.org/officeDocument/2006/relationships" name="Dashboard" sheetId="6" r:id="R4c0d394ff34d4b1d"/>
    <x:sheet xmlns:r="http://schemas.openxmlformats.org/officeDocument/2006/relationships" name="Commentary" sheetId="7" r:id="Rbfc4bac6ad444707"/>
    <x:sheet xmlns:r="http://schemas.openxmlformats.org/officeDocument/2006/relationships" name="Sources &amp; Methodology" sheetId="8" r:id="Ra3589e68b6614431"/>
    <x:sheet xmlns:r="http://schemas.openxmlformats.org/officeDocument/2006/relationships" name="Vertical Analysis" sheetId="9" r:id="R60c5c43675fc4b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[Red](#,##0.0);-"/>
    <x:numFmt numFmtId="201" formatCode="0.0%;[Red](0.0%);-"/>
    <x:numFmt numFmtId="202" formatCode="0.00x"/>
    <x:numFmt numFmtId="203" formatCode="0.00x;[Red](0.00x);-"/>
  </x:numFmts>
  <x:fonts count="17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9"/>
      <x:color rgb="FF555555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1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  <x:font>
      <x:b/>
      <x:sz val="10"/>
      <x:color rgb="FF000000"/>
      <x:name val="Aptos"/>
    </x:font>
    <x:font>
      <x:sz val="10"/>
      <x:color rgb="FF000000"/>
      <x:name val="Aptos"/>
    </x:font>
    <x:font>
      <x:b/>
      <x:sz val="18"/>
      <x:color rgb="FFFFFFFF"/>
      <x:name val="Aptos"/>
    </x:font>
    <x:font>
      <x:sz val="12"/>
      <x:color rgb="FFFFFFFF"/>
      <x:name val="Aptos"/>
    </x:font>
    <x:font>
      <x:b/>
      <x:sz val="10"/>
      <x:color rgb="FFFFFFFF"/>
      <x:name val="Aptos"/>
    </x:font>
    <x:font>
      <x:i/>
      <x:sz val="10"/>
      <x:color rgb="FF000000"/>
      <x:name val="Aptos"/>
    </x:font>
    <x:font>
      <x:b/>
      <x:sz val="16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  <x:fill>
      <x:patternFill patternType="solid">
        <x:fgColor rgb="FF0B2D6B"/>
      </x:patternFill>
    </x:fill>
    <x:fill>
      <x:patternFill patternType="solid">
        <x:fgColor rgb="FFD9D9D9"/>
      </x:patternFill>
    </x:fill>
  </x:fills>
  <x:borders count="6">
    <x:border/>
    <x:border/>
    <x:border>
      <x:top style="thin">
        <x:color rgb="FF808080"/>
      </x:top>
    </x:border>
    <x:border>
      <x:top style="thin">
        <x:color rgb="FF808080"/>
      </x:top>
    </x:border>
    <x:border>
      <x:top style="thin">
        <x:color rgb="FF808080"/>
      </x:top>
      <x:bottom style="thin">
        <x:color rgb="FF000000"/>
      </x:bottom>
    </x:border>
    <x:border>
      <x:bottom style="thin">
        <x:color rgb="FF000000"/>
      </x:bottom>
    </x:border>
  </x:borders>
  <x:cellStyleXfs count="1">
    <x:xf numFmtId="0" fontId="0" fillId="0" borderId="0"/>
  </x:cellStyleXfs>
  <x:cellXfs count="2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0" fillId="3" borderId="0" xfId="0" applyNumberFormat="1" applyFont="1" applyFill="1" applyBorder="1"/>
    <x:xf numFmtId="200" fontId="0" fillId="3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1" xfId="0" applyNumberFormat="1" applyFont="1" applyFill="1" applyBorder="1"/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2" fontId="5" fillId="0" borderId="1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/>
    </x:xf>
    <x:xf numFmtId="200" fontId="6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1" fontId="6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201" fontId="6" fillId="0" borderId="3" xfId="0" applyNumberFormat="1" applyFont="1" applyFill="1" applyBorder="1" applyAlignment="1">
      <x:alignment vertical="center" wrapText="1"/>
    </x:xf>
    <x:xf numFmtId="201" fontId="5" fillId="0" borderId="2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 applyAlignment="1">
      <x:alignment horizontal="right" vertical="center"/>
    </x:xf>
    <x:xf numFmtId="0" fontId="0" fillId="4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2" fontId="2" fillId="4" borderId="0" xfId="0" applyNumberFormat="1" applyFont="1" applyFill="1" applyBorder="1" applyAlignment="1">
      <x:alignment vertical="center"/>
    </x:xf>
    <x:xf numFmtId="202" fontId="2" fillId="4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203" fontId="6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3" fontId="5" fillId="0" borderId="0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 applyAlignment="1">
      <x:alignment horizontal="right" vertical="center"/>
    </x:xf>
    <x:xf numFmtId="0" fontId="9" fillId="4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/>
    </x:xf>
    <x:xf numFmtId="200" fontId="5" fillId="5" borderId="0" xfId="0" applyNumberFormat="1" applyFont="1" applyFill="1" applyBorder="1" applyAlignment="1">
      <x:alignment horizontal="right" vertical="center"/>
    </x:xf>
    <x:xf numFmtId="201" fontId="5" fillId="5" borderId="0" xfId="0" applyNumberFormat="1" applyFont="1" applyFill="1" applyBorder="1" applyAlignment="1">
      <x:alignment horizontal="right" vertical="center"/>
    </x:xf>
    <x:xf numFmtId="203" fontId="5" fillId="5" borderId="0" xfId="0" applyNumberFormat="1" applyFont="1" applyFill="1" applyBorder="1" applyAlignment="1">
      <x:alignment horizontal="righ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right"/>
    </x:xf>
    <x:xf numFmtId="0" fontId="6" fillId="5" borderId="0" xfId="0" applyNumberFormat="1" applyFont="1" applyFill="1" applyBorder="1"/>
    <x:xf numFmtId="200" fontId="5" fillId="5" borderId="0" xfId="0" applyNumberFormat="1" applyFont="1" applyFill="1" applyBorder="1" applyAlignment="1">
      <x:alignment horizontal="right"/>
    </x:xf>
    <x:xf numFmtId="201" fontId="5" fillId="5" borderId="0" xfId="0" applyNumberFormat="1" applyFont="1" applyFill="1" applyBorder="1" applyAlignment="1">
      <x:alignment horizontal="right"/>
    </x:xf>
    <x:xf numFmtId="203" fontId="5" fillId="5" borderId="0" xfId="0" applyNumberFormat="1" applyFont="1" applyFill="1" applyBorder="1" applyAlignment="1">
      <x:alignment horizontal="right"/>
    </x:xf>
    <x:xf numFmtId="0" fontId="2" fillId="2" borderId="0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 applyAlignment="1">
      <x:alignment horizontal="right" vertical="center"/>
    </x:xf>
    <x:xf numFmtId="0" fontId="0" fillId="2" borderId="0" xfId="0" applyNumberFormat="1" applyFont="1" applyFill="1" applyBorder="1" applyAlignment="1">
      <x:alignment vertical="center"/>
    </x:xf>
    <x:xf numFmtId="202" fontId="5" fillId="2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vertical="center"/>
    </x:xf>
    <x:xf numFmtId="202" fontId="2" fillId="2" borderId="0" xfId="0" applyNumberFormat="1" applyFont="1" applyFill="1" applyBorder="1" applyAlignment="1">
      <x:alignment horizontal="center" vertical="center"/>
    </x:xf>
    <x:xf numFmtId="0" fontId="0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horizontal="right" vertical="center"/>
    </x:xf>
    <x:xf numFmtId="0" fontId="11" fillId="0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horizontal="center" vertical="center"/>
    </x:xf>
    <x:xf numFmtId="200" fontId="11" fillId="0" borderId="0" xfId="0" applyNumberFormat="1" applyFont="1" applyFill="1" applyBorder="1" applyAlignment="1">
      <x:alignment vertical="center"/>
    </x:xf>
    <x:xf numFmtId="0" fontId="11" fillId="0" borderId="2" xfId="0" applyNumberFormat="1" applyFont="1" applyFill="1" applyBorder="1" applyAlignment="1">
      <x:alignment vertical="center"/>
    </x:xf>
    <x:xf numFmtId="200" fontId="11" fillId="0" borderId="2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0" fontId="11" fillId="0" borderId="2" xfId="0" applyNumberFormat="1" applyFont="1" applyFill="1" applyBorder="1" applyAlignment="1">
      <x:alignment vertical="center" wrapText="1"/>
    </x:xf>
    <x:xf numFmtId="201" fontId="11" fillId="0" borderId="2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 applyAlignment="1">
      <x:alignment vertical="center" wrapText="0"/>
    </x:xf>
    <x:xf numFmtId="0" fontId="10" fillId="2" borderId="0" xfId="0" applyNumberFormat="1" applyFont="1" applyFill="1" applyBorder="1" applyAlignment="1">
      <x:alignment horizontal="right" vertical="center" wrapText="0"/>
    </x:xf>
    <x:xf numFmtId="0" fontId="11" fillId="0" borderId="0" xfId="0" applyNumberFormat="1" applyFont="1" applyFill="1" applyBorder="1" applyAlignment="1">
      <x:alignment vertical="center" wrapText="0"/>
    </x:xf>
    <x:xf numFmtId="0" fontId="10" fillId="2" borderId="0" xfId="0" applyNumberFormat="1" applyFont="1" applyFill="1" applyBorder="1" applyAlignment="1">
      <x:alignment horizontal="center" vertical="center" wrapText="0"/>
    </x:xf>
    <x:xf numFmtId="200" fontId="11" fillId="0" borderId="0" xfId="0" applyNumberFormat="1" applyFont="1" applyFill="1" applyBorder="1" applyAlignment="1">
      <x:alignment vertical="center" wrapText="0"/>
    </x:xf>
    <x:xf numFmtId="0" fontId="11" fillId="0" borderId="2" xfId="0" applyNumberFormat="1" applyFont="1" applyFill="1" applyBorder="1" applyAlignment="1">
      <x:alignment vertical="center" wrapText="0"/>
    </x:xf>
    <x:xf numFmtId="200" fontId="11" fillId="0" borderId="2" xfId="0" applyNumberFormat="1" applyFont="1" applyFill="1" applyBorder="1" applyAlignment="1">
      <x:alignment vertical="center" wrapText="0"/>
    </x:xf>
    <x:xf numFmtId="0" fontId="11" fillId="3" borderId="0" xfId="0" applyNumberFormat="1" applyFont="1" applyFill="1" applyBorder="1" applyAlignment="1">
      <x:alignment vertical="center" wrapText="0"/>
    </x:xf>
    <x:xf numFmtId="201" fontId="11" fillId="0" borderId="2" xfId="0" applyNumberFormat="1" applyFont="1" applyFill="1" applyBorder="1" applyAlignment="1">
      <x:alignment vertical="center" wrapText="0"/>
    </x:xf>
    <x:xf numFmtId="201" fontId="11" fillId="0" borderId="0" xfId="0" applyNumberFormat="1" applyFont="1" applyFill="1" applyBorder="1" applyAlignment="1">
      <x:alignment vertical="center" wrapText="0"/>
    </x:xf>
    <x:xf numFmtId="0" fontId="10" fillId="6" borderId="0" xfId="0" applyNumberFormat="1" applyFont="1" applyFill="1" applyBorder="1" applyAlignment="1">
      <x:alignment vertical="center" wrapText="0"/>
    </x:xf>
    <x:xf numFmtId="0" fontId="10" fillId="6" borderId="0" xfId="0" applyNumberFormat="1" applyFont="1" applyFill="1" applyBorder="1" applyAlignment="1">
      <x:alignment horizontal="right" vertical="center" wrapText="0"/>
    </x:xf>
    <x:xf numFmtId="0" fontId="12" fillId="6" borderId="0" xfId="0" applyNumberFormat="1" applyFont="1" applyFill="1" applyBorder="1" applyAlignment="1">
      <x:alignment vertical="center" wrapText="0"/>
    </x:xf>
    <x:xf numFmtId="0" fontId="12" fillId="6" borderId="0" xfId="0" applyNumberFormat="1" applyFont="1" applyFill="1" applyBorder="1" applyAlignment="1">
      <x:alignment horizontal="right" vertical="center" wrapText="0"/>
    </x:xf>
    <x:xf numFmtId="0" fontId="12" fillId="6" borderId="0" xfId="0" applyNumberFormat="1" applyFont="1" applyFill="1" applyBorder="1" applyAlignment="1">
      <x:alignment horizontal="center" vertical="center" wrapText="0"/>
    </x:xf>
    <x:xf numFmtId="0" fontId="11" fillId="6" borderId="0" xfId="0" applyNumberFormat="1" applyFont="1" applyFill="1" applyBorder="1" applyAlignment="1">
      <x:alignment vertical="center" wrapText="0"/>
    </x:xf>
    <x:xf numFmtId="0" fontId="13" fillId="6" borderId="0" xfId="0" applyNumberFormat="1" applyFont="1" applyFill="1" applyBorder="1" applyAlignment="1">
      <x:alignment vertical="center" wrapText="0"/>
    </x:xf>
    <x:xf numFmtId="0" fontId="13" fillId="6" borderId="0" xfId="0" applyNumberFormat="1" applyFont="1" applyFill="1" applyBorder="1" applyAlignment="1">
      <x:alignment horizontal="center" vertical="center" wrapText="0"/>
    </x:xf>
    <x:xf numFmtId="0" fontId="10" fillId="6" borderId="0" xfId="0" applyNumberFormat="1" applyFont="1" applyFill="1" applyBorder="1" applyAlignment="1">
      <x:alignment horizontal="center" vertical="center" wrapText="0"/>
    </x:xf>
    <x:xf numFmtId="0" fontId="14" fillId="6" borderId="0" xfId="0" applyNumberFormat="1" applyFont="1" applyFill="1" applyBorder="1" applyAlignment="1">
      <x:alignment horizontal="center" vertical="center" wrapText="0"/>
    </x:xf>
    <x:xf numFmtId="0" fontId="14" fillId="6" borderId="0" xfId="0" applyNumberFormat="1" applyFont="1" applyFill="1" applyBorder="1" applyAlignment="1">
      <x:alignment horizontal="right" vertical="center" wrapText="0"/>
    </x:xf>
    <x:xf numFmtId="0" fontId="14" fillId="6" borderId="0" xfId="0" applyNumberFormat="1" applyFont="1" applyFill="1" applyBorder="1" applyAlignment="1">
      <x:alignment horizontal="left" vertical="center" wrapText="0"/>
    </x:xf>
    <x:xf numFmtId="0" fontId="11" fillId="7" borderId="0" xfId="0" applyNumberFormat="1" applyFont="1" applyFill="1" applyBorder="1" applyAlignment="1">
      <x:alignment vertical="center" wrapText="0"/>
    </x:xf>
    <x:xf numFmtId="200" fontId="11" fillId="7" borderId="0" xfId="0" applyNumberFormat="1" applyFont="1" applyFill="1" applyBorder="1" applyAlignment="1">
      <x:alignment vertical="center" wrapText="0"/>
    </x:xf>
    <x:xf numFmtId="0" fontId="10" fillId="0" borderId="2" xfId="0" applyNumberFormat="1" applyFont="1" applyFill="1" applyBorder="1" applyAlignment="1">
      <x:alignment vertical="center" wrapText="0"/>
    </x:xf>
    <x:xf numFmtId="200" fontId="10" fillId="0" borderId="2" xfId="0" applyNumberFormat="1" applyFont="1" applyFill="1" applyBorder="1" applyAlignment="1">
      <x:alignment vertical="center" wrapText="0"/>
    </x:xf>
    <x:xf numFmtId="0" fontId="10" fillId="0" borderId="4" xfId="0" applyNumberFormat="1" applyFont="1" applyFill="1" applyBorder="1" applyAlignment="1">
      <x:alignment vertical="center" wrapText="0"/>
    </x:xf>
    <x:xf numFmtId="200" fontId="10" fillId="0" borderId="4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center" wrapText="0"/>
    </x:xf>
    <x:xf numFmtId="200" fontId="10" fillId="0" borderId="0" xfId="0" applyNumberFormat="1" applyFont="1" applyFill="1" applyBorder="1" applyAlignment="1">
      <x:alignment vertical="center" wrapText="0"/>
    </x:xf>
    <x:xf numFmtId="0" fontId="10" fillId="0" borderId="5" xfId="0" applyNumberFormat="1" applyFont="1" applyFill="1" applyBorder="1" applyAlignment="1">
      <x:alignment vertical="center" wrapText="0"/>
    </x:xf>
    <x:xf numFmtId="200" fontId="10" fillId="0" borderId="5" xfId="0" applyNumberFormat="1" applyFont="1" applyFill="1" applyBorder="1" applyAlignment="1">
      <x:alignment vertical="center" wrapText="0"/>
    </x:xf>
    <x:xf numFmtId="201" fontId="11" fillId="7" borderId="0" xfId="0" applyNumberFormat="1" applyFont="1" applyFill="1" applyBorder="1" applyAlignment="1">
      <x:alignment vertical="center" wrapText="0"/>
    </x:xf>
    <x:xf numFmtId="200" fontId="11" fillId="7" borderId="0" xfId="0" applyNumberFormat="1" applyFont="1" applyFill="1" applyBorder="1" applyAlignment="1">
      <x:alignment horizontal="right" vertical="center" wrapText="0"/>
    </x:xf>
    <x:xf numFmtId="200" fontId="11" fillId="0" borderId="0" xfId="0" applyNumberFormat="1" applyFont="1" applyFill="1" applyBorder="1" applyAlignment="1">
      <x:alignment horizontal="right" vertical="center" wrapText="0"/>
    </x:xf>
    <x:xf numFmtId="200" fontId="10" fillId="0" borderId="4" xfId="0" applyNumberFormat="1" applyFont="1" applyFill="1" applyBorder="1" applyAlignment="1">
      <x:alignment horizontal="right" vertical="center" wrapText="0"/>
    </x:xf>
    <x:xf numFmtId="200" fontId="10" fillId="0" borderId="5" xfId="0" applyNumberFormat="1" applyFont="1" applyFill="1" applyBorder="1" applyAlignment="1">
      <x:alignment horizontal="right" vertical="center" wrapText="0"/>
    </x:xf>
    <x:xf numFmtId="0" fontId="11" fillId="7" borderId="0" xfId="0" applyNumberFormat="1" applyFont="1" applyFill="1" applyBorder="1" applyAlignment="1">
      <x:alignment horizontal="right" vertical="center" wrapText="0"/>
    </x:xf>
    <x:xf numFmtId="201" fontId="11" fillId="0" borderId="2" xfId="0" applyNumberFormat="1" applyFont="1" applyFill="1" applyBorder="1" applyAlignment="1">
      <x:alignment horizontal="right" vertical="center" wrapText="0"/>
    </x:xf>
    <x:xf numFmtId="201" fontId="11" fillId="7" borderId="0" xfId="0" applyNumberFormat="1" applyFont="1" applyFill="1" applyBorder="1" applyAlignment="1">
      <x:alignment horizontal="right" vertical="center" wrapText="0"/>
    </x:xf>
    <x:xf numFmtId="201" fontId="11" fillId="0" borderId="0" xfId="0" applyNumberFormat="1" applyFont="1" applyFill="1" applyBorder="1" applyAlignment="1">
      <x:alignment horizontal="right" vertical="center" wrapText="0"/>
    </x:xf>
    <x:xf numFmtId="0" fontId="15" fillId="0" borderId="2" xfId="0" applyNumberFormat="1" applyFont="1" applyFill="1" applyBorder="1" applyAlignment="1">
      <x:alignment vertical="center" wrapText="0"/>
    </x:xf>
    <x:xf numFmtId="0" fontId="15" fillId="7" borderId="0" xfId="0" applyNumberFormat="1" applyFont="1" applyFill="1" applyBorder="1" applyAlignment="1">
      <x:alignment vertical="center" wrapText="0"/>
    </x:xf>
    <x:xf numFmtId="0" fontId="15" fillId="0" borderId="0" xfId="0" applyNumberFormat="1" applyFont="1" applyFill="1" applyBorder="1" applyAlignment="1">
      <x:alignment vertical="center" wrapText="0"/>
    </x:xf>
    <x:xf numFmtId="200" fontId="11" fillId="3" borderId="0" xfId="0" applyNumberFormat="1" applyFont="1" applyFill="1" applyBorder="1" applyAlignment="1">
      <x:alignment vertical="center"/>
    </x:xf>
    <x:xf numFmtId="203" fontId="11" fillId="0" borderId="0" xfId="0" applyNumberFormat="1" applyFont="1" applyFill="1" applyBorder="1" applyAlignment="1">
      <x:alignment vertical="center"/>
    </x:xf>
    <x:xf numFmtId="200" fontId="11" fillId="3" borderId="0" xfId="0" applyNumberFormat="1" applyFont="1" applyFill="1" applyBorder="1" applyAlignment="1">
      <x:alignment vertical="center" wrapText="0"/>
    </x:xf>
    <x:xf numFmtId="203" fontId="11" fillId="0" borderId="0" xfId="0" applyNumberFormat="1" applyFont="1" applyFill="1" applyBorder="1" applyAlignment="1">
      <x:alignment vertical="center" wrapText="0"/>
    </x:xf>
    <x:xf numFmtId="203" fontId="10" fillId="0" borderId="0" xfId="0" applyNumberFormat="1" applyFont="1" applyFill="1" applyBorder="1" applyAlignment="1">
      <x:alignment vertical="center" wrapText="0"/>
    </x:xf>
    <x:xf numFmtId="203" fontId="10" fillId="0" borderId="5" xfId="0" applyNumberFormat="1" applyFont="1" applyFill="1" applyBorder="1" applyAlignment="1">
      <x:alignment vertical="center" wrapText="0"/>
    </x:xf>
    <x:xf numFmtId="200" fontId="11" fillId="3" borderId="0" xfId="0" applyNumberFormat="1" applyFont="1" applyFill="1" applyBorder="1" applyAlignment="1">
      <x:alignment horizontal="right" vertical="center" wrapText="0"/>
    </x:xf>
    <x:xf numFmtId="203" fontId="10" fillId="0" borderId="5" xfId="0" applyNumberFormat="1" applyFont="1" applyFill="1" applyBorder="1" applyAlignment="1">
      <x:alignment horizontal="right" vertical="center" wrapText="0"/>
    </x:xf>
    <x:xf numFmtId="0" fontId="10" fillId="3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 wrapText="0"/>
    </x:xf>
    <x:xf numFmtId="0" fontId="14" fillId="6" borderId="0" xfId="0" applyNumberFormat="1" applyFont="1" applyFill="1" applyBorder="1" applyAlignment="1">
      <x:alignment vertical="center" wrapText="0"/>
    </x:xf>
    <x:xf numFmtId="201" fontId="11" fillId="0" borderId="2" xfId="0" applyNumberFormat="1" applyFont="1" applyFill="1" applyBorder="1" applyAlignment="1">
      <x:alignment vertical="center"/>
    </x:xf>
    <x:xf numFmtId="201" fontId="11" fillId="0" borderId="0" xfId="0" applyNumberFormat="1" applyFont="1" applyFill="1" applyBorder="1" applyAlignment="1">
      <x:alignment vertical="center"/>
    </x:xf>
    <x:xf numFmtId="202" fontId="11" fillId="0" borderId="0" xfId="0" applyNumberFormat="1" applyFont="1" applyFill="1" applyBorder="1" applyAlignment="1">
      <x:alignment vertical="center"/>
    </x:xf>
    <x:xf numFmtId="202" fontId="10" fillId="2" borderId="0" xfId="0" applyNumberFormat="1" applyFont="1" applyFill="1" applyBorder="1" applyAlignment="1">
      <x:alignment horizontal="center" vertical="center"/>
    </x:xf>
    <x:xf numFmtId="0" fontId="10" fillId="2" borderId="0" xfId="0" applyNumberFormat="1" applyFont="1" applyFill="1" applyBorder="1" applyAlignment="1">
      <x:alignment horizontal="center" vertical="center" wrapText="1"/>
    </x:xf>
    <x:xf numFmtId="203" fontId="11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202" fontId="11" fillId="0" borderId="0" xfId="0" applyNumberFormat="1" applyFont="1" applyFill="1" applyBorder="1" applyAlignment="1">
      <x:alignment vertical="center" wrapText="0"/>
    </x:xf>
    <x:xf numFmtId="202" fontId="10" fillId="2" borderId="0" xfId="0" applyNumberFormat="1" applyFont="1" applyFill="1" applyBorder="1" applyAlignment="1">
      <x:alignment horizontal="center" vertical="center" wrapText="0"/>
    </x:xf>
    <x:xf numFmtId="202" fontId="10" fillId="6" borderId="0" xfId="0" applyNumberFormat="1" applyFont="1" applyFill="1" applyBorder="1" applyAlignment="1">
      <x:alignment horizontal="center" vertical="center" wrapText="0"/>
    </x:xf>
    <x:xf numFmtId="202" fontId="14" fillId="6" borderId="0" xfId="0" applyNumberFormat="1" applyFont="1" applyFill="1" applyBorder="1" applyAlignment="1">
      <x:alignment horizontal="center" vertical="center" wrapText="0"/>
    </x:xf>
    <x:xf numFmtId="202" fontId="14" fillId="6" borderId="0" xfId="0" applyNumberFormat="1" applyFont="1" applyFill="1" applyBorder="1" applyAlignment="1">
      <x:alignment horizontal="right" vertical="center" wrapText="0"/>
    </x:xf>
    <x:xf numFmtId="0" fontId="11" fillId="0" borderId="0" xfId="0" applyNumberFormat="1" applyFont="1" applyFill="1" applyBorder="1"/>
    <x:xf numFmtId="201" fontId="11" fillId="0" borderId="0" xfId="0" applyNumberFormat="1" applyFont="1" applyFill="1" applyBorder="1"/>
    <x:xf numFmtId="201" fontId="10" fillId="0" borderId="0" xfId="0" applyNumberFormat="1" applyFont="1" applyFill="1" applyBorder="1" applyAlignment="1">
      <x:alignment vertical="center" wrapText="0"/>
    </x:xf>
    <x:xf numFmtId="201" fontId="10" fillId="0" borderId="5" xfId="0" applyNumberFormat="1" applyFont="1" applyFill="1" applyBorder="1" applyAlignment="1">
      <x:alignment vertical="center" wrapText="0"/>
    </x:xf>
    <x:xf numFmtId="201" fontId="10" fillId="0" borderId="5" xfId="0" applyNumberFormat="1" applyFont="1" applyFill="1" applyBorder="1" applyAlignment="1">
      <x:alignment horizontal="right" vertical="center" wrapText="0"/>
    </x:xf>
    <x:xf numFmtId="0" fontId="11" fillId="0" borderId="0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 applyAlignment="1">
      <x:alignment vertical="center" wrapText="0"/>
    </x:xf>
    <x:xf numFmtId="0" fontId="10" fillId="7" borderId="0" xfId="0" applyNumberFormat="1" applyFont="1" applyFill="1" applyBorder="1" applyAlignment="1">
      <x:alignment vertical="center" wrapText="1"/>
    </x:xf>
    <x:xf numFmtId="0" fontId="11" fillId="7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9" fillId="6" borderId="0" xfId="0" applyNumberFormat="1" applyFont="1" applyFill="1" applyBorder="1" applyAlignment="1">
      <x:alignment vertical="center"/>
    </x:xf>
    <x:xf numFmtId="0" fontId="16" fillId="6" borderId="0" xfId="0" applyNumberFormat="1" applyFont="1" applyFill="1" applyBorder="1" applyAlignment="1">
      <x:alignment vertical="center"/>
    </x:xf>
    <x:xf numFmtId="0" fontId="16" fillId="6" borderId="0" xfId="0" applyNumberFormat="1" applyFont="1" applyFill="1" applyBorder="1" applyAlignment="1">
      <x:alignment horizontal="center" vertical="center"/>
    </x:xf>
    <x:xf numFmtId="0" fontId="10" fillId="6" borderId="0" xfId="0" applyNumberFormat="1" applyFont="1" applyFill="1" applyBorder="1" applyAlignment="1">
      <x:alignment horizontal="center" vertical="center"/>
    </x:xf>
    <x:xf numFmtId="200" fontId="11" fillId="0" borderId="0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14" fillId="6" borderId="0" xfId="0" applyNumberFormat="1" applyFont="1" applyFill="1" applyBorder="1" applyAlignment="1">
      <x:alignment horizontal="center" vertical="center"/>
    </x:xf>
    <x:xf numFmtId="0" fontId="14" fillId="6" borderId="0" xfId="0" applyNumberFormat="1" applyFont="1" applyFill="1" applyBorder="1" applyAlignment="1">
      <x:alignment horizontal="right" vertical="center"/>
    </x:xf>
    <x:xf numFmtId="0" fontId="14" fillId="6" borderId="0" xfId="0" applyNumberFormat="1" applyFont="1" applyFill="1" applyBorder="1" applyAlignment="1">
      <x:alignment horizontal="left" vertical="center"/>
    </x:xf>
    <x:xf numFmtId="0" fontId="6" fillId="7" borderId="0" xfId="0" applyNumberFormat="1" applyFont="1" applyFill="1" applyBorder="1"/>
    <x:xf numFmtId="200" fontId="5" fillId="7" borderId="0" xfId="0" applyNumberFormat="1" applyFont="1" applyFill="1" applyBorder="1" applyAlignment="1">
      <x:alignment horizontal="right"/>
    </x:xf>
    <x:xf numFmtId="201" fontId="5" fillId="7" borderId="0" xfId="0" applyNumberFormat="1" applyFont="1" applyFill="1" applyBorder="1" applyAlignment="1">
      <x:alignment horizontal="right"/>
    </x:xf>
    <x:xf numFmtId="203" fontId="5" fillId="7" borderId="0" xfId="0" applyNumberFormat="1" applyFont="1" applyFill="1" applyBorder="1" applyAlignment="1">
      <x:alignment horizontal="right"/>
    </x:xf>
  </x:cellXfs>
  <x:cellStyles count="1">
    <x:cellStyle name="Normal" xfId="0"/>
  </x:cellStyles>
  <x:dxfs count="2">
    <x:dxf>
      <x:font>
        <x:color rgb="FFC00000"/>
      </x:font>
    </x:dxf>
    <x:dxf>
      <x:font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7246c82dc545df" /><Relationship Type="http://schemas.openxmlformats.org/officeDocument/2006/relationships/theme" Target="/xl/theme/theme1.xml" Id="R0b4dd467497541b6" /><Relationship Type="http://schemas.openxmlformats.org/officeDocument/2006/relationships/sharedStrings" Target="/xl/sharedStrings.xml" Id="R2db1d05839434ef9" /><Relationship Type="http://schemas.openxmlformats.org/officeDocument/2006/relationships/worksheet" Target="/xl/worksheets/sheet1.xml" Id="Rd50c45300fec4d6c" /><Relationship Type="http://schemas.openxmlformats.org/officeDocument/2006/relationships/worksheet" Target="/xl/worksheets/sheet2.xml" Id="Rc6a7a54f4a694b25" /><Relationship Type="http://schemas.openxmlformats.org/officeDocument/2006/relationships/worksheet" Target="/xl/worksheets/sheet3.xml" Id="Rca7d69dd0ee947c7" /><Relationship Type="http://schemas.openxmlformats.org/officeDocument/2006/relationships/worksheet" Target="/xl/worksheets/sheet4.xml" Id="R7753247c66f84301" /><Relationship Type="http://schemas.openxmlformats.org/officeDocument/2006/relationships/worksheet" Target="/xl/worksheets/sheet5.xml" Id="R6adeb6a0c77243fb" /><Relationship Type="http://schemas.openxmlformats.org/officeDocument/2006/relationships/worksheet" Target="/xl/worksheets/sheet6.xml" Id="R4c0d394ff34d4b1d" /><Relationship Type="http://schemas.openxmlformats.org/officeDocument/2006/relationships/worksheet" Target="/xl/worksheets/sheet7.xml" Id="Rbfc4bac6ad444707" /><Relationship Type="http://schemas.openxmlformats.org/officeDocument/2006/relationships/worksheet" Target="/xl/worksheets/sheet8.xml" Id="Ra3589e68b6614431" /><Relationship Type="http://schemas.openxmlformats.org/officeDocument/2006/relationships/worksheet" Target="/xl/worksheets/sheet9.xml" Id="R60c5c43675fc4b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df0ac792734a4a" /><Relationship Type="http://schemas.openxmlformats.org/officeDocument/2006/relationships/chart" Target="/xl/drawings/charts/chart2.xml" Id="Rf787010a4e9b4f9a" /><Relationship Type="http://schemas.openxmlformats.org/officeDocument/2006/relationships/chart" Target="/xl/drawings/charts/chart3.xml" Id="Rfd820381b47d425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trend (£m)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Revenue (£m)</c:v>
          </c:tx>
          <c:marker>
            <c:symbol val="none"/>
          </c:marker>
          <c:cat>
            <c:strRef>
              <c:f>'Dashboard'!$M$2:$M$4</c:f>
              <c:strCache>
                <c:ptCount val="0"/>
              </c:strCache>
            </c:strRef>
          </c:cat>
          <c:val>
            <c:numRef>
              <c:f>'Dashboard'!$N$2:$N$4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Profitability trend (£m)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Operating profit/(loss) (£m)</c:v>
          </c:tx>
          <c:marker>
            <c:symbol val="none"/>
          </c:marker>
          <c:cat>
            <c:strRef>
              <c:f>'Dashboard'!$M$7:$M$9</c:f>
              <c:strCache>
                <c:ptCount val="0"/>
              </c:strCache>
            </c:strRef>
          </c:cat>
          <c:val>
            <c:numRef>
              <c:f>'Dashboard'!$N$7:$N$9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Net profit/(loss) (£m)</c:v>
          </c:tx>
          <c:marker>
            <c:symbol val="none"/>
          </c:marker>
          <c:cat>
            <c:strRef>
              <c:f>'Dashboard'!$M$7:$M$9</c:f>
              <c:strCache>
                <c:ptCount val="0"/>
              </c:strCache>
            </c:strRef>
          </c:cat>
          <c:val>
            <c:numRef>
              <c:f>'Dashboard'!$O$7:$O$9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Margins and returns (%)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Gross margin (%)</c:v>
          </c:tx>
          <c:marker>
            <c:symbol val="none"/>
          </c:marker>
          <c:cat>
            <c:strRef>
              <c:f>'Dashboard'!$M$12:$M$14</c:f>
              <c:strCache>
                <c:ptCount val="0"/>
              </c:strCache>
            </c:strRef>
          </c:cat>
          <c:val>
            <c:numRef>
              <c:f>'Dashboard'!$N$12:$N$14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Operating margin (%)</c:v>
          </c:tx>
          <c:marker>
            <c:symbol val="none"/>
          </c:marker>
          <c:cat>
            <c:strRef>
              <c:f>'Dashboard'!$M$12:$M$14</c:f>
              <c:strCache>
                <c:ptCount val="0"/>
              </c:strCache>
            </c:strRef>
          </c:cat>
          <c:val>
            <c:numRef>
              <c:f>'Dashboard'!$O$12:$O$14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ROCE (%)</c:v>
          </c:tx>
          <c:marker>
            <c:symbol val="none"/>
          </c:marker>
          <c:cat>
            <c:strRef>
              <c:f>'Dashboard'!$M$12:$M$14</c:f>
              <c:strCache>
                <c:ptCount val="0"/>
              </c:strCache>
            </c:strRef>
          </c:cat>
          <c:val>
            <c:numRef>
              <c:f>'Dashboard'!$P$12:$P$14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ROE (%)</c:v>
          </c:tx>
          <c:marker>
            <c:symbol val="none"/>
          </c:marker>
          <c:cat>
            <c:strRef>
              <c:f>'Dashboard'!$M$12:$M$14</c:f>
              <c:strCache>
                <c:ptCount val="0"/>
              </c:strCache>
            </c:strRef>
          </c:cat>
          <c:val>
            <c:numRef>
              <c:f>'Dashboard'!$Q$12:$Q$14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</xdr:row>
      <xdr:rowOff>0</xdr:rowOff>
    </xdr:from>
    <xdr:to>
      <xdr:col>11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df0ac792734a4a"/>
        </a:graphicData>
      </a:graphic>
    </xdr:graphicFrame>
    <xdr:clientData/>
  </xdr:twoCellAnchor>
  <xdr:twoCellAnchor>
    <xdr:from>
      <xdr:col>5</xdr:col>
      <xdr:colOff>0</xdr:colOff>
      <xdr:row>14</xdr:row>
      <xdr:rowOff>0</xdr:rowOff>
    </xdr:from>
    <xdr:to>
      <xdr:col>11</xdr:col>
      <xdr:colOff>0</xdr:colOff>
      <xdr:row>27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87010a4e9b4f9a"/>
        </a:graphicData>
      </a:graphic>
    </xdr:graphicFrame>
    <xdr:clientData/>
  </xdr:twoCellAnchor>
  <xdr:twoCellAnchor>
    <xdr:from>
      <xdr:col>0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820381b47d425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1f2a677c179d4be8" /></Relationships>
</file>

<file path=xl/worksheets/sheet1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5" hidden="0" customWidth="1"/>
  </x:cols>
  <x:sheetData>
    <x:row r="1">
      <x:c r="A1" s="242" t="str">
        <x:v>Asda Group Limited | Source Financial Data | FY2023-FY2025</x:v>
      </x:c>
      <x:c r="B1" s="242"/>
      <x:c r="C1" s="242"/>
      <x:c r="D1" s="242"/>
      <x:c r="E1" s="242"/>
      <x:c r="F1" s="242"/>
      <x:c r="G1" s="242"/>
      <x:c r="H1" s="24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 s="150"/>
      <x:c r="B2" s="150"/>
      <x:c r="C2" s="150"/>
      <x:c r="D2" s="150"/>
      <x:c r="E2" s="150"/>
      <x:c r="F2" s="150"/>
      <x:c r="G2" s="150"/>
      <x:c r="H2" s="150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>
      <x:c r="A3" s="219" t="str">
        <x:v>Metric</x:v>
      </x:c>
      <x:c r="B3" s="219" t="str">
        <x:v>FY2023 (£m)</x:v>
      </x:c>
      <x:c r="C3" s="219" t="str">
        <x:v>FY2024 (£m)</x:v>
      </x:c>
      <x:c r="D3" s="219" t="str">
        <x:v>FY2025 (£m)</x:v>
      </x:c>
      <x:c r="E3" s="219" t="str">
        <x:v>2023 Source</x:v>
      </x:c>
      <x:c r="F3" s="219" t="str">
        <x:v>2024 Source</x:v>
      </x:c>
      <x:c r="G3" s="219" t="str">
        <x:v>2025 Source</x:v>
      </x:c>
      <x:c r="H3" s="219" t="str">
        <x:v>Notes</x:v>
      </x:c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158" t="str">
        <x:v>Revenue</x:v>
      </x:c>
      <x:c r="B4" s="243" t="n">
        <x:v>25616.9</x:v>
      </x:c>
      <x:c r="C4" s="243" t="n">
        <x:v>26846.6</x:v>
      </x:c>
      <x:c r="D4" s="243" t="n">
        <x:v>25878</x:v>
      </x:c>
      <x:c r="E4" s="158" t="str">
        <x:v>2024 AR, Income Statement p.89</x:v>
      </x:c>
      <x:c r="F4" s="158" t="str">
        <x:v>2024 AR, Income Statement p.89</x:v>
      </x:c>
      <x:c r="G4" s="158" t="str">
        <x:v>2025 AR, Income Statement p.98</x:v>
      </x:c>
      <x:c r="H4" s="158" t="str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158" t="str">
        <x:v>Cost of goods sold</x:v>
      </x:c>
      <x:c r="B5" s="243" t="n">
        <x:v>-19405.5</x:v>
      </x:c>
      <x:c r="C5" s="243" t="n">
        <x:v>-20325.4</x:v>
      </x:c>
      <x:c r="D5" s="243" t="n">
        <x:v>-19736.7</x:v>
      </x:c>
      <x:c r="E5" s="158" t="str">
        <x:v>2024 AR Note 5, p.129</x:v>
      </x:c>
      <x:c r="F5" s="158" t="str">
        <x:v>2024 AR Note 5, p.129</x:v>
      </x:c>
      <x:c r="G5" s="158" t="str">
        <x:v>2025 AR, Note 4 Operating costs p.130</x:v>
      </x:c>
      <x:c r="H5" s="158" t="str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158" t="str">
        <x:v>Other income</x:v>
      </x:c>
      <x:c r="B6" s="243" t="n">
        <x:v>70.9</x:v>
      </x:c>
      <x:c r="C6" s="243" t="n">
        <x:v>80.1</x:v>
      </x:c>
      <x:c r="D6" s="243" t="n">
        <x:v>97</x:v>
      </x:c>
      <x:c r="E6" s="158" t="str">
        <x:v>2024 AR, Income Statement p.89</x:v>
      </x:c>
      <x:c r="F6" s="158" t="str">
        <x:v>2024 AR, Income Statement p.89</x:v>
      </x:c>
      <x:c r="G6" s="158" t="str">
        <x:v>2025 AR, Income Statement p.98</x:v>
      </x:c>
      <x:c r="H6" s="158" t="str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158" t="str">
        <x:v>Operating costs</x:v>
      </x:c>
      <x:c r="B7" s="243" t="n">
        <x:v>-25119.2</x:v>
      </x:c>
      <x:c r="C7" s="243" t="n">
        <x:v>-26970.3</x:v>
      </x:c>
      <x:c r="D7" s="243" t="n">
        <x:v>-26326.4</x:v>
      </x:c>
      <x:c r="E7" s="158" t="str">
        <x:v>2024 AR, Income Statement p.89</x:v>
      </x:c>
      <x:c r="F7" s="158" t="str">
        <x:v>2024 AR, Income Statement p.89</x:v>
      </x:c>
      <x:c r="G7" s="158" t="str">
        <x:v>2025 AR, Income Statement p.98</x:v>
      </x:c>
      <x:c r="H7" s="158" t="str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158" t="str">
        <x:v>Operating profit/(loss)</x:v>
      </x:c>
      <x:c r="B8" s="243" t="n">
        <x:v>568.6</x:v>
      </x:c>
      <x:c r="C8" s="243" t="n">
        <x:v>-43.6</x:v>
      </x:c>
      <x:c r="D8" s="243" t="n">
        <x:v>-351.4</x:v>
      </x:c>
      <x:c r="E8" s="158" t="str">
        <x:v>2024 AR, Income Statement p.89</x:v>
      </x:c>
      <x:c r="F8" s="158" t="str">
        <x:v>2024 AR, Income Statement p.89</x:v>
      </x:c>
      <x:c r="G8" s="158" t="str">
        <x:v>2025 AR, Income Statement p.98</x:v>
      </x:c>
      <x:c r="H8" s="158" t="str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158" t="str">
        <x:v>Finance income</x:v>
      </x:c>
      <x:c r="B9" s="243" t="n">
        <x:v>52.5</x:v>
      </x:c>
      <x:c r="C9" s="243" t="n">
        <x:v>55.9</x:v>
      </x:c>
      <x:c r="D9" s="243" t="n">
        <x:v>91.3</x:v>
      </x:c>
      <x:c r="E9" s="158" t="str">
        <x:v>2024 AR, Income Statement p.89</x:v>
      </x:c>
      <x:c r="F9" s="158" t="str">
        <x:v>2024 AR, Income Statement p.89</x:v>
      </x:c>
      <x:c r="G9" s="158" t="str">
        <x:v>2025 AR, Income Statement p.98</x:v>
      </x:c>
      <x:c r="H9" s="158" t="str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158" t="str">
        <x:v>Finance costs</x:v>
      </x:c>
      <x:c r="B10" s="243" t="n">
        <x:v>-440.8</x:v>
      </x:c>
      <x:c r="C10" s="243" t="n">
        <x:v>-611.3</x:v>
      </x:c>
      <x:c r="D10" s="243" t="n">
        <x:v>-728.9</x:v>
      </x:c>
      <x:c r="E10" s="158" t="str">
        <x:v>2024 AR, Income Statement p.89</x:v>
      </x:c>
      <x:c r="F10" s="158" t="str">
        <x:v>2024 AR, Income Statement p.89</x:v>
      </x:c>
      <x:c r="G10" s="158" t="str">
        <x:v>2025 AR, Income Statement p.98</x:v>
      </x:c>
      <x:c r="H10" s="158" t="str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158" t="str">
        <x:v>Profit/(loss) before tax</x:v>
      </x:c>
      <x:c r="B11" s="243" t="n">
        <x:v>180.3</x:v>
      </x:c>
      <x:c r="C11" s="243" t="n">
        <x:v>-599</x:v>
      </x:c>
      <x:c r="D11" s="243" t="n">
        <x:v>-989</x:v>
      </x:c>
      <x:c r="E11" s="158" t="str">
        <x:v>2024 AR, Income Statement p.89</x:v>
      </x:c>
      <x:c r="F11" s="158" t="str">
        <x:v>2024 AR, Income Statement p.89</x:v>
      </x:c>
      <x:c r="G11" s="158" t="str">
        <x:v>2025 AR, Income Statement p.98</x:v>
      </x:c>
      <x:c r="H11" s="158" t="str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158" t="str">
        <x:v>Profit/(loss) for year</x:v>
      </x:c>
      <x:c r="B12" s="243" t="n">
        <x:v>194.5</x:v>
      </x:c>
      <x:c r="C12" s="243" t="n">
        <x:v>-487.2</x:v>
      </x:c>
      <x:c r="D12" s="243" t="n">
        <x:v>-716.2</x:v>
      </x:c>
      <x:c r="E12" s="158" t="str">
        <x:v>2024 AR, Income Statement p.89</x:v>
      </x:c>
      <x:c r="F12" s="158" t="str">
        <x:v>2024 AR, Income Statement p.89</x:v>
      </x:c>
      <x:c r="G12" s="158" t="str">
        <x:v>2025 AR, Income Statement p.98</x:v>
      </x:c>
      <x:c r="H12" s="158" t="str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158" t="str">
        <x:v>Non-current assets</x:v>
      </x:c>
      <x:c r="B13" s="243" t="n">
        <x:v>16529.5</x:v>
      </x:c>
      <x:c r="C13" s="243" t="n">
        <x:v>15923.6</x:v>
      </x:c>
      <x:c r="D13" s="243" t="n">
        <x:v>15223.3</x:v>
      </x:c>
      <x:c r="E13" s="158" t="str">
        <x:v>2024 AR, Balance Sheet p.91</x:v>
      </x:c>
      <x:c r="F13" s="158" t="str">
        <x:v>2024 AR, Balance Sheet p.91</x:v>
      </x:c>
      <x:c r="G13" s="158" t="str">
        <x:v>2025 AR, Balance Sheet p.100</x:v>
      </x:c>
      <x:c r="H13" s="158" t="str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158" t="str">
        <x:v>Current assets</x:v>
      </x:c>
      <x:c r="B14" s="243" t="n">
        <x:v>2683</x:v>
      </x:c>
      <x:c r="C14" s="243" t="n">
        <x:v>2497.5</x:v>
      </x:c>
      <x:c r="D14" s="243" t="n">
        <x:v>3092</x:v>
      </x:c>
      <x:c r="E14" s="158" t="str">
        <x:v>2024 AR, Balance Sheet p.91</x:v>
      </x:c>
      <x:c r="F14" s="158" t="str">
        <x:v>2024 AR, Balance Sheet p.91</x:v>
      </x:c>
      <x:c r="G14" s="158" t="str">
        <x:v>2025 AR, Balance Sheet p.100</x:v>
      </x:c>
      <x:c r="H14" s="158" t="str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158" t="str">
        <x:v>Assets held for sale</x:v>
      </x:c>
      <x:c r="B15" s="243" t="n">
        <x:v>76.4</x:v>
      </x:c>
      <x:c r="C15" s="243" t="n">
        <x:v>24.5</x:v>
      </x:c>
      <x:c r="D15" s="243" t="n">
        <x:v>21.1</x:v>
      </x:c>
      <x:c r="E15" s="158" t="str">
        <x:v>2024 AR, Balance Sheet p.91</x:v>
      </x:c>
      <x:c r="F15" s="158" t="str">
        <x:v>2024 AR, Balance Sheet p.91</x:v>
      </x:c>
      <x:c r="G15" s="158" t="str">
        <x:v>2025 AR, Balance Sheet p.100</x:v>
      </x:c>
      <x:c r="H15" s="158" t="str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158" t="str">
        <x:v>Inventories</x:v>
      </x:c>
      <x:c r="B16" s="243" t="n">
        <x:v>1334.3</x:v>
      </x:c>
      <x:c r="C16" s="243" t="n">
        <x:v>1325.9</x:v>
      </x:c>
      <x:c r="D16" s="243" t="n">
        <x:v>1383.6</x:v>
      </x:c>
      <x:c r="E16" s="158" t="str">
        <x:v>2024 AR, Balance Sheet p.91</x:v>
      </x:c>
      <x:c r="F16" s="158" t="str">
        <x:v>2024 AR, Balance Sheet p.91</x:v>
      </x:c>
      <x:c r="G16" s="158" t="str">
        <x:v>2025 AR, Balance Sheet p.100</x:v>
      </x:c>
      <x:c r="H16" s="158" t="str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158" t="str">
        <x:v>Trade/other receivables &amp; derivatives</x:v>
      </x:c>
      <x:c r="B17" s="243" t="n">
        <x:v>307.6</x:v>
      </x:c>
      <x:c r="C17" s="243" t="n">
        <x:v>329.7</x:v>
      </x:c>
      <x:c r="D17" s="243" t="n">
        <x:v>331.7</x:v>
      </x:c>
      <x:c r="E17" s="158" t="str">
        <x:v>2024 AR, Balance Sheet p.91</x:v>
      </x:c>
      <x:c r="F17" s="158" t="str">
        <x:v>2024 AR, Balance Sheet p.91</x:v>
      </x:c>
      <x:c r="G17" s="158" t="str">
        <x:v>2025 AR, Balance Sheet p.100</x:v>
      </x:c>
      <x:c r="H17" s="158" t="str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158" t="str">
        <x:v>Cash and cash equivalents</x:v>
      </x:c>
      <x:c r="B18" s="243" t="n">
        <x:v>1027.7</x:v>
      </x:c>
      <x:c r="C18" s="243" t="n">
        <x:v>823.5</x:v>
      </x:c>
      <x:c r="D18" s="243" t="n">
        <x:v>1339</x:v>
      </x:c>
      <x:c r="E18" s="158" t="str">
        <x:v>2024 AR, Balance Sheet p.91</x:v>
      </x:c>
      <x:c r="F18" s="158" t="str">
        <x:v>2024 AR, Balance Sheet p.91</x:v>
      </x:c>
      <x:c r="G18" s="158" t="str">
        <x:v>2025 AR, Balance Sheet p.100</x:v>
      </x:c>
      <x:c r="H18" s="158" t="str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158" t="str">
        <x:v>Total assets</x:v>
      </x:c>
      <x:c r="B19" s="243" t="n">
        <x:v>19288.9</x:v>
      </x:c>
      <x:c r="C19" s="243" t="n">
        <x:v>18445.6</x:v>
      </x:c>
      <x:c r="D19" s="243" t="n">
        <x:v>18336.4</x:v>
      </x:c>
      <x:c r="E19" s="158" t="str">
        <x:v>2024 AR, Balance Sheet p.91</x:v>
      </x:c>
      <x:c r="F19" s="158" t="str">
        <x:v>2024 AR, Balance Sheet p.91</x:v>
      </x:c>
      <x:c r="G19" s="158" t="str">
        <x:v>2025 AR, Balance Sheet p.100</x:v>
      </x:c>
      <x:c r="H19" s="158" t="str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158" t="str">
        <x:v>Total equity</x:v>
      </x:c>
      <x:c r="B20" s="243" t="n">
        <x:v>3924.8</x:v>
      </x:c>
      <x:c r="C20" s="243" t="n">
        <x:v>3465.1</x:v>
      </x:c>
      <x:c r="D20" s="243" t="n">
        <x:v>2712.4</x:v>
      </x:c>
      <x:c r="E20" s="158" t="str">
        <x:v>2024 AR, Balance Sheet p.91</x:v>
      </x:c>
      <x:c r="F20" s="158" t="str">
        <x:v>2024 AR, Balance Sheet p.91</x:v>
      </x:c>
      <x:c r="G20" s="158" t="str">
        <x:v>2025 AR, Balance Sheet p.100</x:v>
      </x:c>
      <x:c r="H20" s="158" t="str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158" t="str">
        <x:v>Non-current borrowings</x:v>
      </x:c>
      <x:c r="B21" s="243" t="n">
        <x:v>5140.5</x:v>
      </x:c>
      <x:c r="C21" s="243" t="n">
        <x:v>4897</x:v>
      </x:c>
      <x:c r="D21" s="243" t="n">
        <x:v>4785.6</x:v>
      </x:c>
      <x:c r="E21" s="158" t="str">
        <x:v>2024 AR, Balance Sheet p.91</x:v>
      </x:c>
      <x:c r="F21" s="158" t="str">
        <x:v>2024 AR, Balance Sheet p.91</x:v>
      </x:c>
      <x:c r="G21" s="158" t="str">
        <x:v>2025 AR, Balance Sheet p.100</x:v>
      </x:c>
      <x:c r="H21" s="158" t="str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158" t="str">
        <x:v>Current borrowings</x:v>
      </x:c>
      <x:c r="B22" s="243" t="n">
        <x:v>22.7</x:v>
      </x:c>
      <x:c r="C22" s="243" t="n">
        <x:v>7.4</x:v>
      </x:c>
      <x:c r="D22" s="243" t="n">
        <x:v>3.4</x:v>
      </x:c>
      <x:c r="E22" s="158" t="str">
        <x:v>2024 AR, Balance Sheet p.91</x:v>
      </x:c>
      <x:c r="F22" s="158" t="str">
        <x:v>2024 AR, Balance Sheet p.91</x:v>
      </x:c>
      <x:c r="G22" s="158" t="str">
        <x:v>2025 AR, Balance Sheet p.100</x:v>
      </x:c>
      <x:c r="H22" s="158" t="str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158" t="str">
        <x:v>Non-current lease liabilities</x:v>
      </x:c>
      <x:c r="B23" s="243" t="n">
        <x:v>3651.2</x:v>
      </x:c>
      <x:c r="C23" s="243" t="n">
        <x:v>3640.5</x:v>
      </x:c>
      <x:c r="D23" s="243" t="n">
        <x:v>4038</x:v>
      </x:c>
      <x:c r="E23" s="158" t="str">
        <x:v>2024 AR, Balance Sheet p.91</x:v>
      </x:c>
      <x:c r="F23" s="158" t="str">
        <x:v>2024 AR, Balance Sheet p.91</x:v>
      </x:c>
      <x:c r="G23" s="158" t="str">
        <x:v>2025 AR, Balance Sheet p.100</x:v>
      </x:c>
      <x:c r="H23" s="158" t="str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158" t="str">
        <x:v>Current lease liabilities</x:v>
      </x:c>
      <x:c r="B24" s="243" t="n">
        <x:v>139</x:v>
      </x:c>
      <x:c r="C24" s="243" t="n">
        <x:v>152.3</x:v>
      </x:c>
      <x:c r="D24" s="243" t="n">
        <x:v>145.3</x:v>
      </x:c>
      <x:c r="E24" s="158" t="str">
        <x:v>2024 AR, Balance Sheet p.91</x:v>
      </x:c>
      <x:c r="F24" s="158" t="str">
        <x:v>2024 AR, Balance Sheet p.91</x:v>
      </x:c>
      <x:c r="G24" s="158" t="str">
        <x:v>2025 AR, Balance Sheet p.100</x:v>
      </x:c>
      <x:c r="H24" s="158" t="str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158" t="str">
        <x:v>Shareholder loan</x:v>
      </x:c>
      <x:c r="B25" s="243" t="n">
        <x:v>409.1</x:v>
      </x:c>
      <x:c r="C25" s="243" t="n">
        <x:v>457.2</x:v>
      </x:c>
      <x:c r="D25" s="243" t="n">
        <x:v>510.7</x:v>
      </x:c>
      <x:c r="E25" s="158" t="str">
        <x:v>2024 AR, Balance Sheet p.91</x:v>
      </x:c>
      <x:c r="F25" s="158" t="str">
        <x:v>2024 AR, Balance Sheet p.91</x:v>
      </x:c>
      <x:c r="G25" s="158" t="str">
        <x:v>2025 AR, Balance Sheet p.100</x:v>
      </x:c>
      <x:c r="H25" s="158" t="str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158" t="str">
        <x:v>Current liabilities</x:v>
      </x:c>
      <x:c r="B26" s="243" t="n">
        <x:v>4818.5</x:v>
      </x:c>
      <x:c r="C26" s="243" t="n">
        <x:v>4747.3</x:v>
      </x:c>
      <x:c r="D26" s="243" t="n">
        <x:v>5313.4</x:v>
      </x:c>
      <x:c r="E26" s="158" t="str">
        <x:v>2024 AR, Balance Sheet p.91</x:v>
      </x:c>
      <x:c r="F26" s="158" t="str">
        <x:v>2024 AR, Balance Sheet p.91</x:v>
      </x:c>
      <x:c r="G26" s="158" t="str">
        <x:v>2025 AR, Balance Sheet p.100</x:v>
      </x:c>
      <x:c r="H26" s="158" t="str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158" t="str">
        <x:v>Liabilities held for sale</x:v>
      </x:c>
      <x:c r="B27" s="243" t="n">
        <x:v>15.3</x:v>
      </x:c>
      <x:c r="C27" s="243" t="n">
        <x:v>0</x:v>
      </x:c>
      <x:c r="D27" s="243" t="n">
        <x:v>0</x:v>
      </x:c>
      <x:c r="E27" s="158" t="str">
        <x:v>2024 AR, Balance Sheet p.91</x:v>
      </x:c>
      <x:c r="F27" s="158" t="str">
        <x:v>2024 AR, Balance Sheet p.91</x:v>
      </x:c>
      <x:c r="G27" s="158" t="str">
        <x:v>2025 AR, Balance Sheet p.100</x:v>
      </x:c>
      <x:c r="H27" s="158" t="str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158" t="str">
        <x:v>Total liabilities</x:v>
      </x:c>
      <x:c r="B28" s="243" t="n">
        <x:v>15364.1</x:v>
      </x:c>
      <x:c r="C28" s="243" t="n">
        <x:v>14980.5</x:v>
      </x:c>
      <x:c r="D28" s="243" t="n">
        <x:v>15624</x:v>
      </x:c>
      <x:c r="E28" s="158" t="str">
        <x:v>2024 AR, Balance Sheet p.91</x:v>
      </x:c>
      <x:c r="F28" s="158" t="str">
        <x:v>2024 AR, Balance Sheet p.91</x:v>
      </x:c>
      <x:c r="G28" s="158" t="str">
        <x:v>2025 AR, Balance Sheet p.100</x:v>
      </x:c>
      <x:c r="H28" s="158" t="str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158" t="str">
        <x:v>Net cash flow from operating activities</x:v>
      </x:c>
      <x:c r="B29" s="243" t="n">
        <x:v>1245.8</x:v>
      </x:c>
      <x:c r="C29" s="243" t="n">
        <x:v>991.1</x:v>
      </x:c>
      <x:c r="D29" s="243" t="n">
        <x:v>1235.2</x:v>
      </x:c>
      <x:c r="E29" s="158" t="str">
        <x:v>2024 AR, Cash Flow p.94-95</x:v>
      </x:c>
      <x:c r="F29" s="158" t="str">
        <x:v>2024 AR, Cash Flow p.94-95</x:v>
      </x:c>
      <x:c r="G29" s="158" t="str">
        <x:v>2025 AR, Cash Flow p.103</x:v>
      </x:c>
      <x:c r="H29" s="158" t="str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158" t="str">
        <x:v>Net cash flows from investing activities</x:v>
      </x:c>
      <x:c r="B30" s="243" t="n">
        <x:v>-2073.7</x:v>
      </x:c>
      <x:c r="C30" s="243" t="n">
        <x:v>-311.3</x:v>
      </x:c>
      <x:c r="D30" s="243" t="n">
        <x:v>-191.4</x:v>
      </x:c>
      <x:c r="E30" s="158" t="str">
        <x:v>2024 AR, Cash Flow p.94-95</x:v>
      </x:c>
      <x:c r="F30" s="158" t="str">
        <x:v>2024 AR, Cash Flow p.94-95</x:v>
      </x:c>
      <x:c r="G30" s="158" t="str">
        <x:v>2025 AR, Cash Flow p.103</x:v>
      </x:c>
      <x:c r="H30" s="158" t="str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158" t="str">
        <x:v>Net cash flows from financing activities</x:v>
      </x:c>
      <x:c r="B31" s="243" t="n">
        <x:v>1193.1</x:v>
      </x:c>
      <x:c r="C31" s="243" t="n">
        <x:v>-884</x:v>
      </x:c>
      <x:c r="D31" s="243" t="n">
        <x:v>-528.3</x:v>
      </x:c>
      <x:c r="E31" s="158" t="str">
        <x:v>2024 AR, Cash Flow p.94-95</x:v>
      </x:c>
      <x:c r="F31" s="158" t="str">
        <x:v>2024 AR, Cash Flow p.94-95</x:v>
      </x:c>
      <x:c r="G31" s="158" t="str">
        <x:v>2025 AR, Cash Flow p.103</x:v>
      </x:c>
      <x:c r="H31" s="158" t="str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158" t="str">
        <x:v>Purchase of PPE</x:v>
      </x:c>
      <x:c r="B32" s="243" t="n">
        <x:v>-279.7</x:v>
      </x:c>
      <x:c r="C32" s="243" t="n">
        <x:v>-281.3</x:v>
      </x:c>
      <x:c r="D32" s="243" t="n">
        <x:v>-200.1</x:v>
      </x:c>
      <x:c r="E32" s="158" t="str">
        <x:v>2024 AR, Cash Flow p.94-95</x:v>
      </x:c>
      <x:c r="F32" s="158" t="str">
        <x:v>2024 AR, Cash Flow p.94-95</x:v>
      </x:c>
      <x:c r="G32" s="158" t="str">
        <x:v>2025 AR, Cash Flow p.103</x:v>
      </x:c>
      <x:c r="H32" s="158" t="str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158" t="str">
        <x:v>Purchase of intangible assets</x:v>
      </x:c>
      <x:c r="B33" s="243" t="n">
        <x:v>-57.3</x:v>
      </x:c>
      <x:c r="C33" s="243" t="n">
        <x:v>-98.4</x:v>
      </x:c>
      <x:c r="D33" s="243" t="n">
        <x:v>-92.8</x:v>
      </x:c>
      <x:c r="E33" s="158" t="str">
        <x:v>2024 AR, Cash Flow p.94-95</x:v>
      </x:c>
      <x:c r="F33" s="158" t="str">
        <x:v>2024 AR, Cash Flow p.94-95</x:v>
      </x:c>
      <x:c r="G33" s="158" t="str">
        <x:v>2025 AR, Cash Flow p.103</x:v>
      </x:c>
      <x:c r="H33" s="158" t="str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158" t="str">
        <x:v>Net increase/(decrease) in cash</x:v>
      </x:c>
      <x:c r="B34" s="243" t="n">
        <x:v>365.2</x:v>
      </x:c>
      <x:c r="C34" s="243" t="n">
        <x:v>-204.2</x:v>
      </x:c>
      <x:c r="D34" s="243" t="n">
        <x:v>515.5</x:v>
      </x:c>
      <x:c r="E34" s="158" t="str">
        <x:v>2024 AR, Cash Flow p.94-95</x:v>
      </x:c>
      <x:c r="F34" s="158" t="str">
        <x:v>2024 AR, Cash Flow p.94-95</x:v>
      </x:c>
      <x:c r="G34" s="158" t="str">
        <x:v>2025 AR, Cash Flow p.103</x:v>
      </x:c>
      <x:c r="H34" s="158" t="str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158" t="str">
        <x:v>Published net debt</x:v>
      </x:c>
      <x:c r="B35" s="243" t="n">
        <x:v>3831</x:v>
      </x:c>
      <x:c r="C35" s="243" t="n">
        <x:v>3831</x:v>
      </x:c>
      <x:c r="D35" s="243" t="n">
        <x:v>3110</x:v>
      </x:c>
      <x:c r="E35" s="158" t="str">
        <x:v>2024 AR, KPI p.10</x:v>
      </x:c>
      <x:c r="F35" s="158" t="str">
        <x:v>2024 AR, KPI p.10</x:v>
      </x:c>
      <x:c r="G35" s="158" t="str">
        <x:v>2025 AR, KPI / Capital Structure pp.12, 19</x:v>
      </x:c>
      <x:c r="H35" s="158" t="str">
        <x:v>Asda APM. Excludes IFRS 16 lease liabilities and ground rent obligations, net of cash.</x:v>
      </x:c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5" hidden="0" customWidth="1"/>
  </x:cols>
  <x:sheetData>
    <x:row r="1" ht="25" customHeight="1">
      <x:c r="A1" s="174" t="str">
        <x:v>Asda Group Limited</x:v>
      </x:c>
      <x:c r="B1" s="174"/>
      <x:c r="C1" s="174"/>
      <x:c r="D1" s="17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 ht="21" customHeight="1">
      <x:c r="A2" s="177" t="str">
        <x:v>Income Statement Analysis | FY2023-FY2025</x:v>
      </x:c>
      <x:c r="B2" s="177"/>
      <x:c r="C2" s="177"/>
      <x:c r="D2" s="177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19" customHeight="1">
      <x:c r="A3" s="181" t="str">
        <x:v>Metric</x:v>
      </x:c>
      <x:c r="B3" s="180" t="str">
        <x:v>FY2023</x:v>
      </x:c>
      <x:c r="C3" s="180" t="str">
        <x:v>FY2024</x:v>
      </x:c>
      <x:c r="D3" s="180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182" t="str">
        <x:v>Revenue</x:v>
      </x:c>
      <x:c r="B4" s="193" t="n">
        <x:f>'Raw Data'!B4</x:f>
        <x:v>25616.9</x:v>
      </x:c>
      <x:c r="C4" s="193" t="n">
        <x:f>'Raw Data'!C4</x:f>
        <x:v>26846.6</x:v>
      </x:c>
      <x:c r="D4" s="193" t="n">
        <x:f>'Raw Data'!D4</x:f>
        <x:v>25878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162" t="str">
        <x:v>Cost of goods sold</x:v>
      </x:c>
      <x:c r="B5" s="194" t="n">
        <x:f>'Raw Data'!B5</x:f>
        <x:v>-19405.5</x:v>
      </x:c>
      <x:c r="C5" s="194" t="n">
        <x:f>'Raw Data'!C5</x:f>
        <x:v>-20325.4</x:v>
      </x:c>
      <x:c r="D5" s="194" t="n">
        <x:f>'Raw Data'!D5</x:f>
        <x:v>-19736.7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186" t="str">
        <x:v>Gross profit</x:v>
      </x:c>
      <x:c r="B6" s="195" t="n">
        <x:f>B4+B5</x:f>
        <x:v>6211.4000000000015</x:v>
      </x:c>
      <x:c r="C6" s="195" t="n">
        <x:f>C4+C5</x:f>
        <x:v>6521.199999999997</x:v>
      </x:c>
      <x:c r="D6" s="195" t="n">
        <x:f>D4+D5</x:f>
        <x:v>6141.299999999999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162" t="str">
        <x:v>Other income</x:v>
      </x:c>
      <x:c r="B7" s="194" t="n">
        <x:f>'Raw Data'!B6</x:f>
        <x:v>70.9</x:v>
      </x:c>
      <x:c r="C7" s="194" t="n">
        <x:f>'Raw Data'!C6</x:f>
        <x:v>80.1</x:v>
      </x:c>
      <x:c r="D7" s="194" t="n">
        <x:f>'Raw Data'!D6</x:f>
        <x:v>97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182" t="str">
        <x:v>Operating costs</x:v>
      </x:c>
      <x:c r="B8" s="193" t="n">
        <x:f>'Raw Data'!B7</x:f>
        <x:v>-25119.2</x:v>
      </x:c>
      <x:c r="C8" s="193" t="n">
        <x:f>'Raw Data'!C7</x:f>
        <x:v>-26970.3</x:v>
      </x:c>
      <x:c r="D8" s="193" t="n">
        <x:f>'Raw Data'!D7</x:f>
        <x:v>-26326.4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186" t="str">
        <x:v>Operating profit/(loss)</x:v>
      </x:c>
      <x:c r="B9" s="195" t="n">
        <x:f>'Raw Data'!B8</x:f>
        <x:v>568.6</x:v>
      </x:c>
      <x:c r="C9" s="195" t="n">
        <x:f>'Raw Data'!C8</x:f>
        <x:v>-43.6</x:v>
      </x:c>
      <x:c r="D9" s="195" t="n">
        <x:f>'Raw Data'!D8</x:f>
        <x:v>-351.4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190" t="str">
        <x:v>Profit/(loss) before tax</x:v>
      </x:c>
      <x:c r="B10" s="196" t="n">
        <x:f>'Raw Data'!B11</x:f>
        <x:v>180.3</x:v>
      </x:c>
      <x:c r="C10" s="196" t="n">
        <x:f>'Raw Data'!C11</x:f>
        <x:v>-599</x:v>
      </x:c>
      <x:c r="D10" s="196" t="n">
        <x:f>'Raw Data'!D11</x:f>
        <x:v>-989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190" t="str">
        <x:v>Profit/(loss) for year</x:v>
      </x:c>
      <x:c r="B11" s="196" t="n">
        <x:f>'Raw Data'!B12</x:f>
        <x:v>194.5</x:v>
      </x:c>
      <x:c r="C11" s="196" t="n">
        <x:f>'Raw Data'!C12</x:f>
        <x:v>-487.2</x:v>
      </x:c>
      <x:c r="D11" s="196" t="n">
        <x:f>'Raw Data'!D12</x:f>
        <x:v>-716.2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182" t="str"/>
      <x:c r="B12" s="197"/>
      <x:c r="C12" s="197"/>
      <x:c r="D12" s="197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201" t="str">
        <x:v>Revenue growth</x:v>
      </x:c>
      <x:c r="B13" s="198" t="str">
        <x:v>-</x:v>
      </x:c>
      <x:c r="C13" s="198" t="n">
        <x:f>(C4-B4)/B4</x:f>
        <x:v>0.0480034664615936</x:v>
      </x:c>
      <x:c r="D13" s="198" t="n">
        <x:f>(D4-C4)/C4</x:f>
        <x:v>-0.03607905656582206</x:v>
      </x:c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202" t="str">
        <x:v>Gross margin</x:v>
      </x:c>
      <x:c r="B14" s="199" t="n">
        <x:f>B6/B4</x:f>
        <x:v>0.2424727426035157</x:v>
      </x:c>
      <x:c r="C14" s="199" t="n">
        <x:f>C6/C4</x:f>
        <x:v>0.24290599182019315</x:v>
      </x:c>
      <x:c r="D14" s="199" t="n">
        <x:f>D6/D4</x:f>
        <x:v>0.23731741247391605</x:v>
      </x:c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203" t="str">
        <x:v>Operating margin</x:v>
      </x:c>
      <x:c r="B15" s="200" t="n">
        <x:f>B9/B4</x:f>
        <x:v>0.02219628448407106</x:v>
      </x:c>
      <x:c r="C15" s="200" t="n">
        <x:f>C9/C4</x:f>
        <x:v>-0.0016240417781022553</x:v>
      </x:c>
      <x:c r="D15" s="200" t="n">
        <x:f>D9/D4</x:f>
        <x:v>-0.013579101939871704</x:v>
      </x:c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202" t="str">
        <x:v>Net profit margin</x:v>
      </x:c>
      <x:c r="B16" s="199" t="n">
        <x:f>B11/B4</x:f>
        <x:v>0.00759264391866307</x:v>
      </x:c>
      <x:c r="C16" s="199" t="n">
        <x:f>C11/C4</x:f>
        <x:v>-0.01814754941035364</x:v>
      </x:c>
      <x:c r="D16" s="199" t="n">
        <x:f>D11/D4</x:f>
        <x:v>-0.02767601823943118</x:v>
      </x:c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/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5" hidden="0" customWidth="1"/>
  </x:cols>
  <x:sheetData>
    <x:row r="1" ht="25" customHeight="1">
      <x:c r="A1" s="174" t="str">
        <x:v>Asda Group Limited</x:v>
      </x:c>
      <x:c r="B1" s="174"/>
      <x:c r="C1" s="174"/>
      <x:c r="D1" s="17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 ht="21" customHeight="1">
      <x:c r="A2" s="177" t="str">
        <x:v>Balance Sheet Analysis | FY2023-FY2025</x:v>
      </x:c>
      <x:c r="B2" s="177"/>
      <x:c r="C2" s="177"/>
      <x:c r="D2" s="177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19" customHeight="1">
      <x:c r="A3" s="181" t="str">
        <x:v>Metric</x:v>
      </x:c>
      <x:c r="B3" s="180" t="str">
        <x:v>FY2023</x:v>
      </x:c>
      <x:c r="C3" s="180" t="str">
        <x:v>FY2024</x:v>
      </x:c>
      <x:c r="D3" s="180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182" t="str">
        <x:v>Non-current assets</x:v>
      </x:c>
      <x:c r="B4" s="193" t="n">
        <x:f>'Raw Data'!B13</x:f>
        <x:v>16529.5</x:v>
      </x:c>
      <x:c r="C4" s="193" t="n">
        <x:f>'Raw Data'!C13</x:f>
        <x:v>15923.6</x:v>
      </x:c>
      <x:c r="D4" s="193" t="n">
        <x:f>'Raw Data'!D13</x:f>
        <x:v>15223.3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162" t="str">
        <x:v>Current assets</x:v>
      </x:c>
      <x:c r="B5" s="194" t="n">
        <x:f>'Raw Data'!B14</x:f>
        <x:v>2683</x:v>
      </x:c>
      <x:c r="C5" s="194" t="n">
        <x:f>'Raw Data'!C14</x:f>
        <x:v>2497.5</x:v>
      </x:c>
      <x:c r="D5" s="194" t="n">
        <x:f>'Raw Data'!D14</x:f>
        <x:v>3092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182" t="str">
        <x:v>Assets held for sale</x:v>
      </x:c>
      <x:c r="B6" s="193" t="n">
        <x:f>'Raw Data'!B15</x:f>
        <x:v>76.4</x:v>
      </x:c>
      <x:c r="C6" s="193" t="n">
        <x:f>'Raw Data'!C15</x:f>
        <x:v>24.5</x:v>
      </x:c>
      <x:c r="D6" s="193" t="n">
        <x:f>'Raw Data'!D15</x:f>
        <x:v>21.1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186" t="str">
        <x:v>Total current assets incl. held for sale</x:v>
      </x:c>
      <x:c r="B7" s="195" t="n">
        <x:f>B5+B6</x:f>
        <x:v>2759.4</x:v>
      </x:c>
      <x:c r="C7" s="195" t="n">
        <x:f>C5+C6</x:f>
        <x:v>2522</x:v>
      </x:c>
      <x:c r="D7" s="195" t="n">
        <x:f>D5+D6</x:f>
        <x:v>3113.1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182" t="str">
        <x:v>Inventories</x:v>
      </x:c>
      <x:c r="B8" s="193" t="n">
        <x:f>'Raw Data'!B16</x:f>
        <x:v>1334.3</x:v>
      </x:c>
      <x:c r="C8" s="193" t="n">
        <x:f>'Raw Data'!C16</x:f>
        <x:v>1325.9</x:v>
      </x:c>
      <x:c r="D8" s="193" t="n">
        <x:f>'Raw Data'!D16</x:f>
        <x:v>1383.6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162" t="str">
        <x:v>Trade/other receivables &amp; derivatives</x:v>
      </x:c>
      <x:c r="B9" s="194" t="n">
        <x:f>'Raw Data'!B17</x:f>
        <x:v>307.6</x:v>
      </x:c>
      <x:c r="C9" s="194" t="n">
        <x:f>'Raw Data'!C17</x:f>
        <x:v>329.7</x:v>
      </x:c>
      <x:c r="D9" s="194" t="n">
        <x:f>'Raw Data'!D17</x:f>
        <x:v>331.7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182" t="str">
        <x:v>Cash and cash equivalents</x:v>
      </x:c>
      <x:c r="B10" s="193" t="n">
        <x:f>'Raw Data'!B18</x:f>
        <x:v>1027.7</x:v>
      </x:c>
      <x:c r="C10" s="193" t="n">
        <x:f>'Raw Data'!C18</x:f>
        <x:v>823.5</x:v>
      </x:c>
      <x:c r="D10" s="193" t="n">
        <x:f>'Raw Data'!D18</x:f>
        <x:v>1339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186" t="str">
        <x:v>Total assets</x:v>
      </x:c>
      <x:c r="B11" s="195" t="n">
        <x:f>'Raw Data'!B19</x:f>
        <x:v>19288.9</x:v>
      </x:c>
      <x:c r="C11" s="195" t="n">
        <x:f>'Raw Data'!C19</x:f>
        <x:v>18445.6</x:v>
      </x:c>
      <x:c r="D11" s="195" t="n">
        <x:f>'Raw Data'!D19</x:f>
        <x:v>18336.4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182" t="str"/>
      <x:c r="B12" s="193"/>
      <x:c r="C12" s="193"/>
      <x:c r="D12" s="193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190" t="str">
        <x:v>Total equity</x:v>
      </x:c>
      <x:c r="B13" s="196" t="n">
        <x:f>'Raw Data'!B20</x:f>
        <x:v>3924.8</x:v>
      </x:c>
      <x:c r="C13" s="196" t="n">
        <x:f>'Raw Data'!C20</x:f>
        <x:v>3465.1</x:v>
      </x:c>
      <x:c r="D13" s="196" t="n">
        <x:f>'Raw Data'!D20</x:f>
        <x:v>2712.4</x:v>
      </x:c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182" t="str">
        <x:v>Non-current borrowings</x:v>
      </x:c>
      <x:c r="B14" s="193" t="n">
        <x:f>'Raw Data'!B21</x:f>
        <x:v>5140.5</x:v>
      </x:c>
      <x:c r="C14" s="193" t="n">
        <x:f>'Raw Data'!C21</x:f>
        <x:v>4897</x:v>
      </x:c>
      <x:c r="D14" s="193" t="n">
        <x:f>'Raw Data'!D21</x:f>
        <x:v>4785.6</x:v>
      </x:c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162" t="str">
        <x:v>Current borrowings</x:v>
      </x:c>
      <x:c r="B15" s="194" t="n">
        <x:f>'Raw Data'!B22</x:f>
        <x:v>22.7</x:v>
      </x:c>
      <x:c r="C15" s="194" t="n">
        <x:f>'Raw Data'!C22</x:f>
        <x:v>7.4</x:v>
      </x:c>
      <x:c r="D15" s="194" t="n">
        <x:f>'Raw Data'!D22</x:f>
        <x:v>3.4</x:v>
      </x:c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182" t="str">
        <x:v>Non-current lease liabilities</x:v>
      </x:c>
      <x:c r="B16" s="193" t="n">
        <x:f>'Raw Data'!B23</x:f>
        <x:v>3651.2</x:v>
      </x:c>
      <x:c r="C16" s="193" t="n">
        <x:f>'Raw Data'!C23</x:f>
        <x:v>3640.5</x:v>
      </x:c>
      <x:c r="D16" s="193" t="n">
        <x:f>'Raw Data'!D23</x:f>
        <x:v>4038</x:v>
      </x:c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162" t="str">
        <x:v>Current lease liabilities</x:v>
      </x:c>
      <x:c r="B17" s="194" t="n">
        <x:f>'Raw Data'!B24</x:f>
        <x:v>139</x:v>
      </x:c>
      <x:c r="C17" s="194" t="n">
        <x:f>'Raw Data'!C24</x:f>
        <x:v>152.3</x:v>
      </x:c>
      <x:c r="D17" s="194" t="n">
        <x:f>'Raw Data'!D24</x:f>
        <x:v>145.3</x:v>
      </x:c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182" t="str">
        <x:v>Shareholder loan</x:v>
      </x:c>
      <x:c r="B18" s="193" t="n">
        <x:f>'Raw Data'!B25</x:f>
        <x:v>409.1</x:v>
      </x:c>
      <x:c r="C18" s="193" t="n">
        <x:f>'Raw Data'!C25</x:f>
        <x:v>457.2</x:v>
      </x:c>
      <x:c r="D18" s="193" t="n">
        <x:f>'Raw Data'!D25</x:f>
        <x:v>510.7</x:v>
      </x:c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162" t="str">
        <x:v>Current liabilities</x:v>
      </x:c>
      <x:c r="B19" s="194" t="n">
        <x:f>'Raw Data'!B26</x:f>
        <x:v>4818.5</x:v>
      </x:c>
      <x:c r="C19" s="194" t="n">
        <x:f>'Raw Data'!C26</x:f>
        <x:v>4747.3</x:v>
      </x:c>
      <x:c r="D19" s="194" t="n">
        <x:f>'Raw Data'!D26</x:f>
        <x:v>5313.4</x:v>
      </x:c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182" t="str">
        <x:v>Liabilities held for sale</x:v>
      </x:c>
      <x:c r="B20" s="193" t="n">
        <x:f>'Raw Data'!B27</x:f>
        <x:v>15.3</x:v>
      </x:c>
      <x:c r="C20" s="193" t="n">
        <x:f>'Raw Data'!C27</x:f>
        <x:v>0</x:v>
      </x:c>
      <x:c r="D20" s="193" t="n">
        <x:f>'Raw Data'!D27</x:f>
        <x:v>0</x:v>
      </x:c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186" t="str">
        <x:v>Total current liabilities incl. held-for-sale liabilities</x:v>
      </x:c>
      <x:c r="B21" s="195" t="n">
        <x:f>B19+B20</x:f>
        <x:v>4833.8</x:v>
      </x:c>
      <x:c r="C21" s="195" t="n">
        <x:f>C19+C20</x:f>
        <x:v>4747.3</x:v>
      </x:c>
      <x:c r="D21" s="195" t="n">
        <x:f>D19+D20</x:f>
        <x:v>5313.4</x:v>
      </x:c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190" t="str">
        <x:v>Total liabilities</x:v>
      </x:c>
      <x:c r="B22" s="196" t="n">
        <x:f>'Raw Data'!B28</x:f>
        <x:v>15364.1</x:v>
      </x:c>
      <x:c r="C22" s="196" t="n">
        <x:f>'Raw Data'!C28</x:f>
        <x:v>14980.5</x:v>
      </x:c>
      <x:c r="D22" s="196" t="n">
        <x:f>'Raw Data'!D28</x:f>
        <x:v>15624</x:v>
      </x:c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167" t="str"/>
      <x:c r="B23" s="210"/>
      <x:c r="C23" s="210"/>
      <x:c r="D23" s="210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186" t="str">
        <x:v>Working capital</x:v>
      </x:c>
      <x:c r="B24" s="195" t="n">
        <x:f>B7-B21</x:f>
        <x:v>-2074.4</x:v>
      </x:c>
      <x:c r="C24" s="195" t="n">
        <x:f>C7-C21</x:f>
        <x:v>-2225.3</x:v>
      </x:c>
      <x:c r="D24" s="195" t="n">
        <x:f>D7-D21</x:f>
        <x:v>-2200.2999999999997</x:v>
      </x:c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190" t="str">
        <x:v>Current ratio</x:v>
      </x:c>
      <x:c r="B25" s="211" t="n">
        <x:f>B7/B21</x:f>
        <x:v>0.5708552277711118</x:v>
      </x:c>
      <x:c r="C25" s="211" t="n">
        <x:f>C7/C21</x:f>
        <x:v>0.5312493417310892</x:v>
      </x:c>
      <x:c r="D25" s="211" t="n">
        <x:f>D7/D21</x:f>
        <x:v>0.5858960364361803</x:v>
      </x:c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190" t="str">
        <x:v>Quick ratio</x:v>
      </x:c>
      <x:c r="B26" s="211" t="n">
        <x:f>(B7-B8)/B21</x:f>
        <x:v>0.2948198105010551</x:v>
      </x:c>
      <x:c r="C26" s="211" t="n">
        <x:f>(C7-C8)/C21</x:f>
        <x:v>0.2519537421271038</x:v>
      </x:c>
      <x:c r="D26" s="211" t="n">
        <x:f>(D7-D8)/D21</x:f>
        <x:v>0.32549779802010015</x:v>
      </x:c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5" hidden="0" customWidth="1"/>
  </x:cols>
  <x:sheetData>
    <x:row r="1" ht="25" customHeight="1">
      <x:c r="A1" s="174" t="str">
        <x:v>Asda Group Limited</x:v>
      </x:c>
      <x:c r="B1" s="174"/>
      <x:c r="C1" s="174"/>
      <x:c r="D1" s="17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 ht="21" customHeight="1">
      <x:c r="A2" s="177" t="str">
        <x:v>Cash Flow Analysis | FY2023-FY2025</x:v>
      </x:c>
      <x:c r="B2" s="177"/>
      <x:c r="C2" s="177"/>
      <x:c r="D2" s="177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19" customHeight="1">
      <x:c r="A3" s="181" t="str">
        <x:v>Metric</x:v>
      </x:c>
      <x:c r="B3" s="180" t="str">
        <x:v>FY2023</x:v>
      </x:c>
      <x:c r="C3" s="180" t="str">
        <x:v>FY2024</x:v>
      </x:c>
      <x:c r="D3" s="180" t="str">
        <x:v>FY2025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190" t="str">
        <x:v>Net cash flow from operating activities</x:v>
      </x:c>
      <x:c r="B4" s="196" t="n">
        <x:f>'Raw Data'!B29</x:f>
        <x:v>1245.8</x:v>
      </x:c>
      <x:c r="C4" s="196" t="n">
        <x:f>'Raw Data'!C29</x:f>
        <x:v>991.1</x:v>
      </x:c>
      <x:c r="D4" s="196" t="n">
        <x:f>'Raw Data'!D29</x:f>
        <x:v>1235.2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162" t="str">
        <x:v>Net cash flows from investing activities</x:v>
      </x:c>
      <x:c r="B5" s="194" t="n">
        <x:f>'Raw Data'!B30</x:f>
        <x:v>-2073.7</x:v>
      </x:c>
      <x:c r="C5" s="194" t="n">
        <x:f>'Raw Data'!C30</x:f>
        <x:v>-311.3</x:v>
      </x:c>
      <x:c r="D5" s="194" t="n">
        <x:f>'Raw Data'!D30</x:f>
        <x:v>-191.4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182" t="str">
        <x:v>Net cash flows from financing activities</x:v>
      </x:c>
      <x:c r="B6" s="193" t="n">
        <x:f>'Raw Data'!B31</x:f>
        <x:v>1193.1</x:v>
      </x:c>
      <x:c r="C6" s="193" t="n">
        <x:f>'Raw Data'!C31</x:f>
        <x:v>-884</x:v>
      </x:c>
      <x:c r="D6" s="193" t="n">
        <x:f>'Raw Data'!D31</x:f>
        <x:v>-528.3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162" t="str">
        <x:v>Purchase of PPE</x:v>
      </x:c>
      <x:c r="B7" s="194" t="n">
        <x:f>'Raw Data'!B32</x:f>
        <x:v>-279.7</x:v>
      </x:c>
      <x:c r="C7" s="194" t="n">
        <x:f>'Raw Data'!C32</x:f>
        <x:v>-281.3</x:v>
      </x:c>
      <x:c r="D7" s="194" t="n">
        <x:f>'Raw Data'!D32</x:f>
        <x:v>-200.1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182" t="str">
        <x:v>Purchase of intangible assets</x:v>
      </x:c>
      <x:c r="B8" s="193" t="n">
        <x:f>'Raw Data'!B33</x:f>
        <x:v>-57.3</x:v>
      </x:c>
      <x:c r="C8" s="193" t="n">
        <x:f>'Raw Data'!C33</x:f>
        <x:v>-98.4</x:v>
      </x:c>
      <x:c r="D8" s="193" t="n">
        <x:f>'Raw Data'!D33</x:f>
        <x:v>-92.8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186" t="str">
        <x:v>Simplified free cash flow</x:v>
      </x:c>
      <x:c r="B9" s="195" t="n">
        <x:f>B4+B7+B8</x:f>
        <x:v>908.8</x:v>
      </x:c>
      <x:c r="C9" s="195" t="n">
        <x:f>C4+C7+C8</x:f>
        <x:v>611.4</x:v>
      </x:c>
      <x:c r="D9" s="195" t="n">
        <x:f>D4+D7+D8</x:f>
        <x:v>942.3000000000002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190" t="str">
        <x:v>Net increase/(decrease) in cash</x:v>
      </x:c>
      <x:c r="B10" s="196" t="n">
        <x:f>'Raw Data'!B34</x:f>
        <x:v>365.2</x:v>
      </x:c>
      <x:c r="C10" s="196" t="n">
        <x:f>'Raw Data'!C34</x:f>
        <x:v>-204.2</x:v>
      </x:c>
      <x:c r="D10" s="196" t="n">
        <x:f>'Raw Data'!D34</x:f>
        <x:v>515.5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190" t="str">
        <x:v>Ending cash and cash equivalents</x:v>
      </x:c>
      <x:c r="B11" s="196" t="n">
        <x:f>'Raw Data'!B18</x:f>
        <x:v>1027.7</x:v>
      </x:c>
      <x:c r="C11" s="196" t="n">
        <x:f>'Raw Data'!C18</x:f>
        <x:v>823.5</x:v>
      </x:c>
      <x:c r="D11" s="196" t="n">
        <x:f>'Raw Data'!D18</x:f>
        <x:v>1339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162"/>
      <x:c r="B12" s="162"/>
      <x:c r="C12" s="162"/>
      <x:c r="D12" s="162"/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 ht="19" customHeight="1">
      <x:c r="A13" s="181" t="str">
        <x:v>Methodology Notes</x:v>
      </x:c>
      <x:c r="B13" s="180" t="str"/>
      <x:c r="C13" s="180" t="str"/>
      <x:c r="D13" s="180" t="str"/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 ht="36" customHeight="1">
      <x:c r="A14" s="188" t="str">
        <x:v>Simplified free cash flow</x:v>
      </x:c>
      <x:c r="B14" s="158" t="str">
        <x:v>Operating cash flow less cash purchases of PPE and intangible assets. This is an analytical measure, not Asda's published APM.</x:v>
      </x:c>
      <x:c r="C14" s="158" t="str"/>
      <x:c r="D14" s="158" t="str"/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 ht="36" customHeight="1">
      <x:c r="A15" s="188" t="str">
        <x:v>Asda published Underlying Free Cash Flow</x:v>
      </x:c>
      <x:c r="B15" s="158" t="str">
        <x:v>FY2023 £776m; FY2024 £817m; FY2025 £508m. It uses Adjusted EBITDA less capital expenditure excluding Project Future.</x:v>
      </x:c>
      <x:c r="C15" s="158" t="str"/>
      <x:c r="D15" s="158" t="str"/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2"/>
      <x:c r="B16" s="52"/>
      <x:c r="C16" s="52"/>
      <x:c r="D16" s="52"/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/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3:D13"/>
    <x:mergeCell ref="B14:D14"/>
    <x:mergeCell ref="B15:D15"/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14="http://schemas.microsoft.com/office/spreadsheetml/2009/9/main" xmlns:xm="http://schemas.microsoft.com/office/excel/2006/main" xmlns:mc="http://schemas.openxmlformats.org/markup-compatibility/2006" xmlns:xr2="http://schemas.microsoft.com/office/spreadsheetml/2015/revision2" xmlns:x="http://schemas.openxmlformats.org/spreadsheetml/2006/main" mc:Ignorable="xr2"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5" hidden="0" customWidth="1"/>
    <x:col min="5" max="5" width="16" hidden="0" customWidth="1"/>
  </x:cols>
  <x:sheetData>
    <x:row r="1" ht="25" customHeight="1">
      <x:c r="A1" s="174" t="str">
        <x:v>Asda Group Limited</x:v>
      </x:c>
      <x:c r="B1" s="174"/>
      <x:c r="C1" s="174"/>
      <x:c r="D1" s="174"/>
      <x:c r="E1" s="174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 ht="21" customHeight="1">
      <x:c r="A2" s="177" t="str">
        <x:v>Financial Ratio Analysis | FY2023-FY2025</x:v>
      </x:c>
      <x:c r="B2" s="177"/>
      <x:c r="C2" s="177"/>
      <x:c r="D2" s="177"/>
      <x:c r="E2" s="177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19" customHeight="1">
      <x:c r="A3" s="181" t="str">
        <x:v>Profitability Ratios</x:v>
      </x:c>
      <x:c r="B3" s="180" t="str">
        <x:v>FY2023</x:v>
      </x:c>
      <x:c r="C3" s="180" t="str">
        <x:v>FY2024</x:v>
      </x:c>
      <x:c r="D3" s="180" t="str">
        <x:v>FY2025</x:v>
      </x:c>
      <x:c r="E3" s="180" t="str">
        <x:v>Trend</x:v>
      </x:c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165" t="str">
        <x:v>Revenue growth</x:v>
      </x:c>
      <x:c r="B4" s="168" t="str">
        <x:f>'Income Statement'!B13</x:f>
        <x:v>-</x:v>
      </x:c>
      <x:c r="C4" s="168" t="n">
        <x:f>'Income Statement'!C13</x:f>
        <x:v>0.0480034664615936</x:v>
      </x:c>
      <x:c r="D4" s="168" t="n">
        <x:f>'Income Statement'!D13</x:f>
        <x:v>-0.03607905656582206</x:v>
      </x:c>
      <x:c r="E4" s="16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162" t="str">
        <x:v>Gross margin</x:v>
      </x:c>
      <x:c r="B5" s="169" t="n">
        <x:f>'Income Statement'!B14</x:f>
        <x:v>0.2424727426035157</x:v>
      </x:c>
      <x:c r="C5" s="169" t="n">
        <x:f>'Income Statement'!C14</x:f>
        <x:v>0.24290599182019315</x:v>
      </x:c>
      <x:c r="D5" s="169" t="n">
        <x:f>'Income Statement'!D14</x:f>
        <x:v>0.23731741247391605</x:v>
      </x:c>
      <x:c r="E5" s="16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162" t="str">
        <x:v>Operating margin</x:v>
      </x:c>
      <x:c r="B6" s="169" t="n">
        <x:f>'Income Statement'!B15</x:f>
        <x:v>0.02219628448407106</x:v>
      </x:c>
      <x:c r="C6" s="169" t="n">
        <x:f>'Income Statement'!C15</x:f>
        <x:v>-0.0016240417781022553</x:v>
      </x:c>
      <x:c r="D6" s="169" t="n">
        <x:f>'Income Statement'!D15</x:f>
        <x:v>-0.013579101939871704</x:v>
      </x:c>
      <x:c r="E6" s="16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162" t="str">
        <x:v>ROE</x:v>
      </x:c>
      <x:c r="B7" s="169" t="n">
        <x:f>'Income Statement'!B11/'Balance Sheet'!B13</x:f>
        <x:v>0.04955666530778638</x:v>
      </x:c>
      <x:c r="C7" s="169" t="n">
        <x:f>'Income Statement'!C11/'Balance Sheet'!C13</x:f>
        <x:v>-0.1406020028282012</x:v>
      </x:c>
      <x:c r="D7" s="169" t="n">
        <x:f>'Income Statement'!D11/'Balance Sheet'!D13</x:f>
        <x:v>-0.26404660079634273</x:v>
      </x:c>
      <x:c r="E7" s="16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162" t="str">
        <x:v>ROCE</x:v>
      </x:c>
      <x:c r="B8" s="169" t="n">
        <x:f>'Income Statement'!B9/('Balance Sheet'!B13+'Balance Sheet'!B14+'Balance Sheet'!B15+'Balance Sheet'!B16+'Balance Sheet'!B17+'Balance Sheet'!B18-'Balance Sheet'!B10)</x:f>
        <x:v>0.04637997977095501</x:v>
      </x:c>
      <x:c r="C8" s="169" t="n">
        <x:f>'Income Statement'!C9/('Balance Sheet'!C13+'Balance Sheet'!C14+'Balance Sheet'!C15+'Balance Sheet'!C16+'Balance Sheet'!C17+'Balance Sheet'!C18-'Balance Sheet'!C10)</x:f>
        <x:v>-0.003696168192607664</x:v>
      </x:c>
      <x:c r="D8" s="169" t="n">
        <x:f>'Income Statement'!D9/('Balance Sheet'!D13+'Balance Sheet'!D14+'Balance Sheet'!D15+'Balance Sheet'!D16+'Balance Sheet'!D17+'Balance Sheet'!D18-'Balance Sheet'!D10)</x:f>
        <x:v>-0.032368004126598134</x:v>
      </x:c>
      <x:c r="E8" s="16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162"/>
      <x:c r="B9" s="222"/>
      <x:c r="C9" s="222"/>
      <x:c r="D9" s="222"/>
      <x:c r="E9" s="16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 ht="19" customHeight="1">
      <x:c r="A10" s="181" t="str">
        <x:v>Liquidity &amp; Efficiency Ratios</x:v>
      </x:c>
      <x:c r="B10" s="226" t="str">
        <x:v>FY2023</x:v>
      </x:c>
      <x:c r="C10" s="226" t="str">
        <x:v>FY2024</x:v>
      </x:c>
      <x:c r="D10" s="226" t="str">
        <x:v>FY2025</x:v>
      </x:c>
      <x:c r="E10" s="180" t="str">
        <x:v>Trend</x:v>
      </x:c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162" t="str">
        <x:v>Current ratio</x:v>
      </x:c>
      <x:c r="B11" s="207" t="n">
        <x:f>'Balance Sheet'!B25</x:f>
        <x:v>0.5708552277711118</x:v>
      </x:c>
      <x:c r="C11" s="207" t="n">
        <x:f>'Balance Sheet'!C25</x:f>
        <x:v>0.5312493417310892</x:v>
      </x:c>
      <x:c r="D11" s="207" t="n">
        <x:f>'Balance Sheet'!D25</x:f>
        <x:v>0.5858960364361803</x:v>
      </x:c>
      <x:c r="E11" s="16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162" t="str">
        <x:v>Quick ratio</x:v>
      </x:c>
      <x:c r="B12" s="207" t="n">
        <x:f>'Balance Sheet'!B26</x:f>
        <x:v>0.2948198105010551</x:v>
      </x:c>
      <x:c r="C12" s="207" t="n">
        <x:f>'Balance Sheet'!C26</x:f>
        <x:v>0.2519537421271038</x:v>
      </x:c>
      <x:c r="D12" s="207" t="n">
        <x:f>'Balance Sheet'!D26</x:f>
        <x:v>0.32549779802010015</x:v>
      </x:c>
      <x:c r="E12" s="16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162" t="str">
        <x:v>Working capital (£m)</x:v>
      </x:c>
      <x:c r="B13" s="164" t="n">
        <x:f>'Balance Sheet'!B24</x:f>
        <x:v>-2074.4</x:v>
      </x:c>
      <x:c r="C13" s="164" t="n">
        <x:f>'Balance Sheet'!C24</x:f>
        <x:v>-2225.3</x:v>
      </x:c>
      <x:c r="D13" s="164" t="n">
        <x:f>'Balance Sheet'!D24</x:f>
        <x:v>-2200.2999999999997</x:v>
      </x:c>
      <x:c r="E13" s="16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162" t="str">
        <x:v>Asset turnover</x:v>
      </x:c>
      <x:c r="B14" s="207" t="n">
        <x:f>'Income Statement'!B4/'Balance Sheet'!B11</x:f>
        <x:v>1.3280643271518853</x:v>
      </x:c>
      <x:c r="C14" s="207" t="n">
        <x:f>'Income Statement'!C4/'Balance Sheet'!C11</x:f>
        <x:v>1.4554473695623888</x:v>
      </x:c>
      <x:c r="D14" s="207" t="n">
        <x:f>'Income Statement'!D4/'Balance Sheet'!D11</x:f>
        <x:v>1.4112912021989048</x:v>
      </x:c>
      <x:c r="E14" s="16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162" t="str">
        <x:v>Inventory turnover</x:v>
      </x:c>
      <x:c r="B15" s="207" t="n">
        <x:f>ABS('Income Statement'!B5)/'Balance Sheet'!B8</x:f>
        <x:v>14.543580903844713</x:v>
      </x:c>
      <x:c r="C15" s="207" t="n">
        <x:f>ABS('Income Statement'!C5)/'Balance Sheet'!C8</x:f>
        <x:v>15.329512029564825</x:v>
      </x:c>
      <x:c r="D15" s="207" t="n">
        <x:f>ABS('Income Statement'!D5)/'Balance Sheet'!D8</x:f>
        <x:v>14.264744145706853</x:v>
      </x:c>
      <x:c r="E15" s="16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213"/>
      <x:c r="B16" s="213"/>
      <x:c r="C16" s="213"/>
      <x:c r="D16" s="213"/>
      <x:c r="E16" s="16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 ht="19" customHeight="1">
      <x:c r="A17" s="181" t="str">
        <x:v>Leverage / Solvency Ratios</x:v>
      </x:c>
      <x:c r="B17" s="180" t="str">
        <x:v>FY2023</x:v>
      </x:c>
      <x:c r="C17" s="180" t="str">
        <x:v>FY2024</x:v>
      </x:c>
      <x:c r="D17" s="180" t="str">
        <x:v>FY2025</x:v>
      </x:c>
      <x:c r="E17" s="180" t="str">
        <x:v>Trend</x:v>
      </x:c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162" t="str">
        <x:v>Gross debt / equity</x:v>
      </x:c>
      <x:c r="B18" s="207" t="n">
        <x:f>('Balance Sheet'!B14+'Balance Sheet'!B15+'Balance Sheet'!B16+'Balance Sheet'!B17+'Balance Sheet'!B18)/'Balance Sheet'!B13</x:f>
        <x:v>2.385471871178149</x:v>
      </x:c>
      <x:c r="C18" s="207" t="n">
        <x:f>('Balance Sheet'!C14+'Balance Sheet'!C15+'Balance Sheet'!C16+'Balance Sheet'!C17+'Balance Sheet'!C18)/'Balance Sheet'!C13</x:f>
        <x:v>2.6418862370494356</x:v>
      </x:c>
      <x:c r="D18" s="207" t="n">
        <x:f>('Balance Sheet'!D14+'Balance Sheet'!D15+'Balance Sheet'!D16+'Balance Sheet'!D17+'Balance Sheet'!D18)/'Balance Sheet'!D13</x:f>
        <x:v>3.4961657572629403</x:v>
      </x:c>
      <x:c r="E18" s="16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162" t="str">
        <x:v>Net debt / equity</x:v>
      </x:c>
      <x:c r="B19" s="207" t="n">
        <x:f>'Raw Data'!B35/'Balance Sheet'!B13</x:f>
        <x:v>0.9761006930289441</x:v>
      </x:c>
      <x:c r="C19" s="207" t="n">
        <x:f>'Raw Data'!C35/'Balance Sheet'!C13</x:f>
        <x:v>1.105595798101065</x:v>
      </x:c>
      <x:c r="D19" s="207" t="n">
        <x:f>'Raw Data'!D35/'Balance Sheet'!D13</x:f>
        <x:v>1.146586049255272</x:v>
      </x:c>
      <x:c r="E19" s="16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162" t="str">
        <x:v>Liabilities / assets</x:v>
      </x:c>
      <x:c r="B20" s="169" t="n">
        <x:f>'Balance Sheet'!B22/'Balance Sheet'!B11</x:f>
        <x:v>0.7965254628309546</x:v>
      </x:c>
      <x:c r="C20" s="169" t="n">
        <x:f>'Balance Sheet'!C22/'Balance Sheet'!C11</x:f>
        <x:v>0.8121449017651907</x:v>
      </x:c>
      <x:c r="D20" s="169" t="n">
        <x:f>'Balance Sheet'!D22/'Balance Sheet'!D11</x:f>
        <x:v>0.8520756527998953</x:v>
      </x:c>
      <x:c r="E20" s="16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162" t="str">
        <x:v>Interest coverage</x:v>
      </x:c>
      <x:c r="B21" s="207" t="n">
        <x:f>'Income Statement'!B9/ABS('Raw Data'!B10)</x:f>
        <x:v>1.2899274047186933</x:v>
      </x:c>
      <x:c r="C21" s="207" t="n">
        <x:f>'Income Statement'!C9/ABS('Raw Data'!C10)</x:f>
        <x:v>-0.07132340912808768</x:v>
      </x:c>
      <x:c r="D21" s="207" t="n">
        <x:f>'Income Statement'!D9/ABS('Raw Data'!D10)</x:f>
        <x:v>-0.482096309507477</x:v>
      </x:c>
      <x:c r="E21" s="16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162" t="str">
        <x:v>Published net debt (£m)</x:v>
      </x:c>
      <x:c r="B22" s="164" t="n">
        <x:f>'Raw Data'!B35</x:f>
        <x:v>3831</x:v>
      </x:c>
      <x:c r="C22" s="164" t="n">
        <x:f>'Raw Data'!C35</x:f>
        <x:v>3831</x:v>
      </x:c>
      <x:c r="D22" s="164" t="n">
        <x:f>'Raw Data'!D35</x:f>
        <x:v>3110</x:v>
      </x:c>
      <x:c r="E22" s="16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162"/>
      <x:c r="B23" s="162"/>
      <x:c r="C23" s="162"/>
      <x:c r="D23" s="162"/>
      <x:c r="E23" s="16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162"/>
      <x:c r="B24" s="162"/>
      <x:c r="C24" s="162"/>
      <x:c r="D24" s="162"/>
      <x:c r="E24" s="16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 ht="19" customHeight="1">
      <x:c r="A25" s="181" t="str">
        <x:v>Definitions / Methodology</x:v>
      </x:c>
      <x:c r="B25" s="180"/>
      <x:c r="C25" s="180"/>
      <x:c r="D25" s="180"/>
      <x:c r="E25" s="180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 ht="34" customHeight="1">
      <x:c r="A26" s="188" t="str">
        <x:v>ROE</x:v>
      </x:c>
      <x:c r="B26" s="158" t="str">
        <x:v>Profit/(loss) for year ÷ closing total equity.</x:v>
      </x:c>
      <x:c r="C26" s="158"/>
      <x:c r="D26" s="158"/>
      <x:c r="E26" s="158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 ht="34" customHeight="1">
      <x:c r="A27" s="188" t="str">
        <x:v>ROCE</x:v>
      </x:c>
      <x:c r="B27" s="158" t="str">
        <x:v>Operating profit/(loss) ÷ closing capital employed; capital employed includes equity, borrowings, lease liabilities and shareholder loan, less cash.</x:v>
      </x:c>
      <x:c r="C27" s="158"/>
      <x:c r="D27" s="158"/>
      <x:c r="E27" s="158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 ht="34" customHeight="1">
      <x:c r="A28" s="188" t="str">
        <x:v>Asset turnover</x:v>
      </x:c>
      <x:c r="B28" s="158" t="str">
        <x:v>Revenue ÷ closing total assets.</x:v>
      </x:c>
      <x:c r="C28" s="158"/>
      <x:c r="D28" s="158"/>
      <x:c r="E28" s="158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 ht="34" customHeight="1">
      <x:c r="A29" s="188" t="str">
        <x:v>Inventory turnover</x:v>
      </x:c>
      <x:c r="B29" s="158" t="str">
        <x:v>Absolute cost of goods sold ÷ closing inventories. Closing inventory is used consistently because opening inventory for FY2023 is outside the three-year scope.</x:v>
      </x:c>
      <x:c r="C29" s="158"/>
      <x:c r="D29" s="158"/>
      <x:c r="E29" s="158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 ht="34" customHeight="1">
      <x:c r="A30" s="188" t="str">
        <x:v>Interest coverage</x:v>
      </x:c>
      <x:c r="B30" s="158" t="str">
        <x:v>Operating profit/(loss) ÷ absolute finance costs. Finance costs include more than pure cash interest, so this is an analytical proxy.</x:v>
      </x:c>
      <x:c r="C30" s="158"/>
      <x:c r="D30" s="158"/>
      <x:c r="E30" s="158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 ht="34" customHeight="1">
      <x:c r="A31" s="188" t="str">
        <x:v>Net debt / equity</x:v>
      </x:c>
      <x:c r="B31" s="158" t="str">
        <x:v>Asda published net debt APM ÷ closing total equity.</x:v>
      </x:c>
      <x:c r="C31" s="158"/>
      <x:c r="D31" s="158"/>
      <x:c r="E31" s="158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6:D16"/>
    <x:mergeCell ref="A1:E1"/>
    <x:mergeCell ref="A2:E2"/>
  </x:mergeCells>
  <x:pageMargins left="0.7" right="0.7" top="0.75" bottom="0.75" header="0.3" footer="0.3"/>
  <x:extLst>
    <x:ext xmlns:x14="http://schemas.microsoft.com/office/spreadsheetml/2009/9/main" xmlns:xm="http://schemas.microsoft.com/office/excel/2006/main" uri="{05C60535-1F16-4fd2-B633-F4F36F0B64E0}">
      <x14:sparklineGroups>
        <x14:sparklineGroup lineWeight="1" type="line" displayEmptyCellsAs="gap" displayXAxis="1" xr2:uid="{5F49456C-83B8-446B-849C-6DAD64D3E965}">
          <x14:colorSeries rgb="FF4472C4"/>
          <x14:sparklines>
            <x14:sparkline>
              <xm:f>'Ratio Analysis'!B4:D4</xm:f>
              <xm:sqref>E4</xm:sqref>
            </x14:sparkline>
          </x14:sparklines>
        </x14:sparklineGroup>
        <x14:sparklineGroup lineWeight="1" type="line" displayEmptyCellsAs="gap" displayXAxis="1" xr2:uid="{3708E003-44FC-47AE-B6B4-EF56A0A1F2BE}">
          <x14:colorSeries rgb="FF4472C4"/>
          <x14:sparklines>
            <x14:sparkline>
              <xm:f>'Ratio Analysis'!B5:D5</xm:f>
              <xm:sqref>E5</xm:sqref>
            </x14:sparkline>
          </x14:sparklines>
        </x14:sparklineGroup>
        <x14:sparklineGroup lineWeight="1" type="line" displayEmptyCellsAs="gap" displayXAxis="1" xr2:uid="{3A34DA9C-33F7-482D-B5AB-B8D43F20588E}">
          <x14:colorSeries rgb="FF4472C4"/>
          <x14:sparklines>
            <x14:sparkline>
              <xm:f>'Ratio Analysis'!B6:D6</xm:f>
              <xm:sqref>E6</xm:sqref>
            </x14:sparkline>
          </x14:sparklines>
        </x14:sparklineGroup>
        <x14:sparklineGroup lineWeight="1" type="line" displayEmptyCellsAs="gap" displayXAxis="1" xr2:uid="{AF43951F-B7F1-4EEA-8BC7-EA8B79289167}">
          <x14:colorSeries rgb="FF4472C4"/>
          <x14:sparklines>
            <x14:sparkline>
              <xm:f>'Ratio Analysis'!B7:D7</xm:f>
              <xm:sqref>E7</xm:sqref>
            </x14:sparkline>
          </x14:sparklines>
        </x14:sparklineGroup>
        <x14:sparklineGroup lineWeight="1" type="line" displayEmptyCellsAs="gap" displayXAxis="1" xr2:uid="{79C5B2B8-6C43-49B4-8F1A-88C74F444F40}">
          <x14:colorSeries rgb="FF4472C4"/>
          <x14:sparklines>
            <x14:sparkline>
              <xm:f>'Ratio Analysis'!B8:D8</xm:f>
              <xm:sqref>E8</xm:sqref>
            </x14:sparkline>
          </x14:sparklines>
        </x14:sparklineGroup>
        <x14:sparklineGroup lineWeight="1" type="line" displayEmptyCellsAs="gap" displayXAxis="1" xr2:uid="{B0BB101C-9C8C-4B26-A401-31C03D1313D5}">
          <x14:colorSeries rgb="FF4472C4"/>
          <x14:sparklines>
            <x14:sparkline>
              <xm:f>'Ratio Analysis'!B11:D11</xm:f>
              <xm:sqref>E11</xm:sqref>
            </x14:sparkline>
          </x14:sparklines>
        </x14:sparklineGroup>
        <x14:sparklineGroup lineWeight="1" type="line" displayEmptyCellsAs="gap" displayXAxis="1" xr2:uid="{E5B8E7B7-C607-4025-9B5B-7245FF95905E}">
          <x14:colorSeries rgb="FF4472C4"/>
          <x14:sparklines>
            <x14:sparkline>
              <xm:f>'Ratio Analysis'!B12:D12</xm:f>
              <xm:sqref>E12</xm:sqref>
            </x14:sparkline>
          </x14:sparklines>
        </x14:sparklineGroup>
        <x14:sparklineGroup lineWeight="1" type="line" displayEmptyCellsAs="gap" displayXAxis="1" xr2:uid="{E80680D7-4317-4166-8A79-B276F890B442}">
          <x14:colorSeries rgb="FF4472C4"/>
          <x14:sparklines>
            <x14:sparkline>
              <xm:f>'Ratio Analysis'!B13:D13</xm:f>
              <xm:sqref>E13</xm:sqref>
            </x14:sparkline>
          </x14:sparklines>
        </x14:sparklineGroup>
        <x14:sparklineGroup lineWeight="1" type="line" displayEmptyCellsAs="gap" displayXAxis="1" xr2:uid="{65585219-BE65-46A1-9DEB-5A849E4A1B18}">
          <x14:colorSeries rgb="FF4472C4"/>
          <x14:sparklines>
            <x14:sparkline>
              <xm:f>'Ratio Analysis'!B14:D14</xm:f>
              <xm:sqref>E14</xm:sqref>
            </x14:sparkline>
          </x14:sparklines>
        </x14:sparklineGroup>
        <x14:sparklineGroup lineWeight="1" type="line" displayEmptyCellsAs="gap" displayXAxis="1" xr2:uid="{3AB65EF1-3A39-4599-8015-4EAA4E6A6D51}">
          <x14:colorSeries rgb="FF4472C4"/>
          <x14:sparklines>
            <x14:sparkline>
              <xm:f>'Ratio Analysis'!B15:D15</xm:f>
              <xm:sqref>E15</xm:sqref>
            </x14:sparkline>
          </x14:sparklines>
        </x14:sparklineGroup>
        <x14:sparklineGroup lineWeight="1" type="line" displayEmptyCellsAs="gap" displayXAxis="1" xr2:uid="{075132B5-714C-4101-8F57-440D3A1B9EC4}">
          <x14:colorSeries rgb="FF4472C4"/>
          <x14:sparklines>
            <x14:sparkline>
              <xm:f>'Ratio Analysis'!B18:D18</xm:f>
              <xm:sqref>E18</xm:sqref>
            </x14:sparkline>
          </x14:sparklines>
        </x14:sparklineGroup>
        <x14:sparklineGroup lineWeight="1" type="line" displayEmptyCellsAs="gap" displayXAxis="1" xr2:uid="{9CC02EE5-CBF3-4FC3-A425-9EFE9F40A376}">
          <x14:colorSeries rgb="FF4472C4"/>
          <x14:sparklines>
            <x14:sparkline>
              <xm:f>'Ratio Analysis'!B19:D19</xm:f>
              <xm:sqref>E19</xm:sqref>
            </x14:sparkline>
          </x14:sparklines>
        </x14:sparklineGroup>
        <x14:sparklineGroup lineWeight="1" type="line" displayEmptyCellsAs="gap" displayXAxis="1" xr2:uid="{7595C05C-7DFC-48DC-8F05-A4FE172C05E2}">
          <x14:colorSeries rgb="FF4472C4"/>
          <x14:sparklines>
            <x14:sparkline>
              <xm:f>'Ratio Analysis'!B20:D20</xm:f>
              <xm:sqref>E20</xm:sqref>
            </x14:sparkline>
          </x14:sparklines>
        </x14:sparklineGroup>
        <x14:sparklineGroup lineWeight="1" type="line" displayEmptyCellsAs="gap" displayXAxis="1" xr2:uid="{8C5CD9E5-D7E0-42B3-BF3E-85B4AB8AE5C0}">
          <x14:colorSeries rgb="FF4472C4"/>
          <x14:sparklines>
            <x14:sparkline>
              <xm:f>'Ratio Analysis'!B21:D21</xm:f>
              <xm:sqref>E21</xm:sqref>
            </x14:sparkline>
          </x14:sparklines>
        </x14:sparklineGroup>
        <x14:sparklineGroup lineWeight="1" type="line" displayEmptyCellsAs="gap" displayXAxis="1" xr2:uid="{BC30C995-09C6-429A-822B-9A189AC4F842}">
          <x14:colorSeries rgb="FF4472C4"/>
          <x14:sparklines>
            <x14:sparkline>
              <xm:f>'Ratio Analysis'!B22:D22</xm:f>
              <xm:sqref>E22</xm:sqref>
            </x14:sparkline>
          </x14:sparklines>
        </x14:sparklineGroup>
      </x14:sparklineGroups>
    </x:ext>
  </x:extLst>
</x:worksheet>
</file>

<file path=xl/worksheets/sheet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13" max="13" width="2" hidden="0" customWidth="1"/>
    <x:col min="14" max="14" width="2" hidden="0" customWidth="1"/>
    <x:col min="15" max="15" width="2" hidden="0" customWidth="1"/>
    <x:col min="16" max="16" width="2" hidden="0" customWidth="1"/>
  </x:cols>
  <x:sheetData>
    <x:row r="1" ht="28" customHeight="1">
      <x:c r="A1" s="247" t="str">
        <x:v>Asda Group Limited | Financial Performance Dashboard | FY2023-FY2025</x:v>
      </x:c>
      <x:c r="B1" s="247"/>
      <x:c r="C1" s="247"/>
      <x:c r="D1" s="247"/>
      <x:c r="E1" s="247"/>
      <x:c r="F1" s="247"/>
      <x:c r="G1" s="247"/>
      <x:c r="H1" s="247"/>
      <x:c r="I1" s="247"/>
      <x:c r="J1" s="247"/>
      <x:c r="K1" s="247"/>
      <x:c r="L1" s="247"/>
      <x:c r="M1" s="247" t="str">
        <x:v>Year</x:v>
      </x:c>
      <x:c r="N1" s="247" t="str">
        <x:v>Revenue (£m)</x:v>
      </x:c>
      <x:c r="O1" s="247"/>
      <x:c r="P1" s="247"/>
      <x:c r="Q1" s="247"/>
      <x:c r="R1" s="52"/>
      <x:c r="S1" s="52"/>
      <x:c r="T1" s="52"/>
      <x:c r="U1" s="52"/>
      <x:c r="V1" s="52"/>
      <x:c r="W1" s="52"/>
      <x:c r="X1" s="52"/>
      <x:c r="Y1" s="52"/>
      <x:c r="Z1" s="52"/>
    </x:row>
    <x:row r="2">
      <x:c r="A2"/>
      <x:c r="B2"/>
      <x:c r="C2"/>
      <x:c r="D2"/>
      <x:c r="E2"/>
      <x:c r="F2"/>
      <x:c r="G2"/>
      <x:c r="H2"/>
      <x:c r="I2"/>
      <x:c r="J2"/>
      <x:c r="K2"/>
      <x:c r="L2" s="52"/>
      <x:c r="M2" s="52" t="str">
        <x:v>FY2023</x:v>
      </x:c>
      <x:c r="N2" s="120" t="n">
        <x:v>25616.9</x:v>
      </x:c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19" customHeight="1">
      <x:c r="A3" s="251" t="str">
        <x:v>Key KPI</x:v>
      </x:c>
      <x:c r="B3" s="250" t="str">
        <x:v>FY2023</x:v>
      </x:c>
      <x:c r="C3" s="250" t="str">
        <x:v>FY2024</x:v>
      </x:c>
      <x:c r="D3" s="250" t="str">
        <x:v>FY2025</x:v>
      </x:c>
      <x:c r="E3"/>
      <x:c r="F3"/>
      <x:c r="G3"/>
      <x:c r="H3"/>
      <x:c r="I3"/>
      <x:c r="J3"/>
      <x:c r="K3"/>
      <x:c r="L3" s="52"/>
      <x:c r="M3" s="52" t="str">
        <x:v>FY2024</x:v>
      </x:c>
      <x:c r="N3" s="120" t="n">
        <x:v>26846.6</x:v>
      </x:c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252" t="str">
        <x:v>Revenue (£m)</x:v>
      </x:c>
      <x:c r="B4" s="253" t="n">
        <x:f>'Income Statement'!B4</x:f>
        <x:v>25616.9</x:v>
      </x:c>
      <x:c r="C4" s="253" t="n">
        <x:f>'Income Statement'!C4</x:f>
        <x:v>26846.6</x:v>
      </x:c>
      <x:c r="D4" s="253" t="n">
        <x:f>'Income Statement'!D4</x:f>
        <x:v>25878</x:v>
      </x:c>
      <x:c r="E4"/>
      <x:c r="F4"/>
      <x:c r="G4"/>
      <x:c r="H4"/>
      <x:c r="I4"/>
      <x:c r="J4"/>
      <x:c r="K4"/>
      <x:c r="L4" s="52"/>
      <x:c r="M4" s="52" t="str">
        <x:v>FY2025</x:v>
      </x:c>
      <x:c r="N4" s="120" t="n">
        <x:v>25878</x:v>
      </x:c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134" t="str">
        <x:v>Operating profit/(loss) (£m)</x:v>
      </x:c>
      <x:c r="B5" s="135" t="n">
        <x:f>'Income Statement'!B9</x:f>
        <x:v>568.6</x:v>
      </x:c>
      <x:c r="C5" s="135" t="n">
        <x:f>'Income Statement'!C9</x:f>
        <x:v>-43.6</x:v>
      </x:c>
      <x:c r="D5" s="135" t="n">
        <x:f>'Income Statement'!D9</x:f>
        <x:v>-351.4</x:v>
      </x:c>
      <x:c r="E5"/>
      <x:c r="F5"/>
      <x:c r="G5"/>
      <x:c r="H5"/>
      <x:c r="I5"/>
      <x:c r="J5"/>
      <x:c r="K5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252" t="str">
        <x:v>Net profit/(loss) (£m)</x:v>
      </x:c>
      <x:c r="B6" s="253" t="n">
        <x:f>'Income Statement'!B11</x:f>
        <x:v>194.5</x:v>
      </x:c>
      <x:c r="C6" s="253" t="n">
        <x:f>'Income Statement'!C11</x:f>
        <x:v>-487.2</x:v>
      </x:c>
      <x:c r="D6" s="253" t="n">
        <x:f>'Income Statement'!D11</x:f>
        <x:v>-716.2</x:v>
      </x:c>
      <x:c r="E6"/>
      <x:c r="F6"/>
      <x:c r="G6"/>
      <x:c r="H6"/>
      <x:c r="I6"/>
      <x:c r="J6"/>
      <x:c r="K6"/>
      <x:c r="L6" s="52"/>
      <x:c r="M6" s="52" t="str">
        <x:v>Year</x:v>
      </x:c>
      <x:c r="N6" s="52" t="str">
        <x:v>Operating profit/(loss) (£m)</x:v>
      </x:c>
      <x:c r="O6" s="52" t="str">
        <x:v>Net profit/(loss) (£m)</x:v>
      </x:c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134" t="str">
        <x:v>Operating cash flow (£m)</x:v>
      </x:c>
      <x:c r="B7" s="135" t="n">
        <x:f>'Cash Flow'!B4</x:f>
        <x:v>1245.8</x:v>
      </x:c>
      <x:c r="C7" s="135" t="n">
        <x:f>'Cash Flow'!C4</x:f>
        <x:v>991.1</x:v>
      </x:c>
      <x:c r="D7" s="135" t="n">
        <x:f>'Cash Flow'!D4</x:f>
        <x:v>1235.2</x:v>
      </x:c>
      <x:c r="E7"/>
      <x:c r="F7"/>
      <x:c r="G7"/>
      <x:c r="H7"/>
      <x:c r="I7"/>
      <x:c r="J7"/>
      <x:c r="K7"/>
      <x:c r="L7" s="52"/>
      <x:c r="M7" s="52" t="str">
        <x:v>FY2023</x:v>
      </x:c>
      <x:c r="N7" s="120" t="n">
        <x:v>568.6</x:v>
      </x:c>
      <x:c r="O7" s="120" t="n">
        <x:v>194.5</x:v>
      </x:c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252" t="str">
        <x:v>Gross margin</x:v>
      </x:c>
      <x:c r="B8" s="254" t="n">
        <x:f>'Ratio Analysis'!B5</x:f>
        <x:v>0.2424727426035157</x:v>
      </x:c>
      <x:c r="C8" s="254" t="n">
        <x:f>'Ratio Analysis'!C5</x:f>
        <x:v>0.24290599182019315</x:v>
      </x:c>
      <x:c r="D8" s="254" t="n">
        <x:f>'Ratio Analysis'!D5</x:f>
        <x:v>0.23731741247391605</x:v>
      </x:c>
      <x:c r="E8"/>
      <x:c r="F8"/>
      <x:c r="G8"/>
      <x:c r="H8"/>
      <x:c r="I8"/>
      <x:c r="J8"/>
      <x:c r="K8"/>
      <x:c r="L8" s="52"/>
      <x:c r="M8" s="52" t="str">
        <x:v>FY2024</x:v>
      </x:c>
      <x:c r="N8" s="120" t="n">
        <x:v>-43.6</x:v>
      </x:c>
      <x:c r="O8" s="120" t="n">
        <x:v>-487.2</x:v>
      </x:c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134" t="str">
        <x:v>Operating margin</x:v>
      </x:c>
      <x:c r="B9" s="136" t="n">
        <x:f>'Ratio Analysis'!B6</x:f>
        <x:v>0.02219628448407106</x:v>
      </x:c>
      <x:c r="C9" s="136" t="n">
        <x:f>'Ratio Analysis'!C6</x:f>
        <x:v>-0.0016240417781022553</x:v>
      </x:c>
      <x:c r="D9" s="136" t="n">
        <x:f>'Ratio Analysis'!D6</x:f>
        <x:v>-0.013579101939871704</x:v>
      </x:c>
      <x:c r="E9"/>
      <x:c r="F9"/>
      <x:c r="G9"/>
      <x:c r="H9"/>
      <x:c r="I9"/>
      <x:c r="J9"/>
      <x:c r="K9"/>
      <x:c r="L9" s="52"/>
      <x:c r="M9" s="52" t="str">
        <x:v>FY2025</x:v>
      </x:c>
      <x:c r="N9" s="120" t="n">
        <x:v>-351.4</x:v>
      </x:c>
      <x:c r="O9" s="120" t="n">
        <x:v>-716.2</x:v>
      </x:c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252" t="str">
        <x:v>ROCE</x:v>
      </x:c>
      <x:c r="B10" s="254" t="n">
        <x:f>'Ratio Analysis'!B8</x:f>
        <x:v>0.04637997977095501</x:v>
      </x:c>
      <x:c r="C10" s="254" t="n">
        <x:f>'Ratio Analysis'!C8</x:f>
        <x:v>-0.003696168192607664</x:v>
      </x:c>
      <x:c r="D10" s="254" t="n">
        <x:f>'Ratio Analysis'!D8</x:f>
        <x:v>-0.032368004126598134</x:v>
      </x:c>
      <x:c r="E10"/>
      <x:c r="F10"/>
      <x:c r="G10"/>
      <x:c r="H10"/>
      <x:c r="I10"/>
      <x:c r="J10"/>
      <x:c r="K10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134" t="str">
        <x:v>ROE</x:v>
      </x:c>
      <x:c r="B11" s="137" t="n">
        <x:f>'Ratio Analysis'!B7</x:f>
        <x:v>0.04955666530778638</x:v>
      </x:c>
      <x:c r="C11" s="137" t="n">
        <x:f>'Ratio Analysis'!C7</x:f>
        <x:v>-0.1406020028282012</x:v>
      </x:c>
      <x:c r="D11" s="137" t="n">
        <x:f>'Ratio Analysis'!D7</x:f>
        <x:v>-0.26404660079634273</x:v>
      </x:c>
      <x:c r="E11"/>
      <x:c r="F11"/>
      <x:c r="G11"/>
      <x:c r="H11"/>
      <x:c r="I11"/>
      <x:c r="J11"/>
      <x:c r="K11"/>
      <x:c r="L11" s="52"/>
      <x:c r="M11" s="52" t="str">
        <x:v>Year</x:v>
      </x:c>
      <x:c r="N11" s="52" t="str">
        <x:v>Gross margin (%)</x:v>
      </x:c>
      <x:c r="O11" s="52" t="str">
        <x:v>Operating margin (%)</x:v>
      </x:c>
      <x:c r="P11" s="52" t="str">
        <x:v>ROCE (%)</x:v>
      </x:c>
      <x:c r="Q11" s="52" t="str">
        <x:v>ROE (%)</x:v>
      </x:c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252" t="str">
        <x:v>Current ratio</x:v>
      </x:c>
      <x:c r="B12" s="255" t="n">
        <x:f>'Ratio Analysis'!B11</x:f>
        <x:v>0.5708552277711118</x:v>
      </x:c>
      <x:c r="C12" s="255" t="n">
        <x:f>'Ratio Analysis'!C11</x:f>
        <x:v>0.5312493417310892</x:v>
      </x:c>
      <x:c r="D12" s="255" t="n">
        <x:f>'Ratio Analysis'!D11</x:f>
        <x:v>0.5858960364361803</x:v>
      </x:c>
      <x:c r="E12"/>
      <x:c r="F12"/>
      <x:c r="G12"/>
      <x:c r="H12"/>
      <x:c r="I12"/>
      <x:c r="J12"/>
      <x:c r="K12"/>
      <x:c r="L12" s="52"/>
      <x:c r="M12" s="52" t="str">
        <x:v>FY2023</x:v>
      </x:c>
      <x:c r="N12" s="127" t="n">
        <x:v>24.24727426035157</x:v>
      </x:c>
      <x:c r="O12" s="127" t="n">
        <x:v>2.219628448407106</x:v>
      </x:c>
      <x:c r="P12" s="127" t="n">
        <x:v>4.637997977095501</x:v>
      </x:c>
      <x:c r="Q12" s="127" t="n">
        <x:v>4.955666530778638</x:v>
      </x:c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134" t="str">
        <x:v>Net debt / equity</x:v>
      </x:c>
      <x:c r="B13" s="137" t="n">
        <x:f>'Ratio Analysis'!B19</x:f>
        <x:v>0.9761006930289441</x:v>
      </x:c>
      <x:c r="C13" s="137" t="n">
        <x:f>'Ratio Analysis'!C19</x:f>
        <x:v>1.105595798101065</x:v>
      </x:c>
      <x:c r="D13" s="137" t="n">
        <x:f>'Ratio Analysis'!D19</x:f>
        <x:v>1.146586049255272</x:v>
      </x:c>
      <x:c r="E13"/>
      <x:c r="F13"/>
      <x:c r="G13"/>
      <x:c r="H13"/>
      <x:c r="I13"/>
      <x:c r="J13"/>
      <x:c r="K13"/>
      <x:c r="L13" s="52"/>
      <x:c r="M13" s="52" t="str">
        <x:v>FY2024</x:v>
      </x:c>
      <x:c r="N13" s="127" t="n">
        <x:v>24.290599182019314</x:v>
      </x:c>
      <x:c r="O13" s="127" t="n">
        <x:v>-0.16240417781022554</x:v>
      </x:c>
      <x:c r="P13" s="127" t="n">
        <x:v>-0.3696168192607664</x:v>
      </x:c>
      <x:c r="Q13" s="127" t="n">
        <x:v>-14.06020028282012</x:v>
      </x:c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252" t="str">
        <x:v>Published net debt (£m)</x:v>
      </x:c>
      <x:c r="B14" s="253" t="n">
        <x:f>'Ratio Analysis'!B22</x:f>
        <x:v>3831</x:v>
      </x:c>
      <x:c r="C14" s="253" t="n">
        <x:f>'Ratio Analysis'!C22</x:f>
        <x:v>3831</x:v>
      </x:c>
      <x:c r="D14" s="253" t="n">
        <x:f>'Ratio Analysis'!D22</x:f>
        <x:v>3110</x:v>
      </x:c>
      <x:c r="E14"/>
      <x:c r="F14"/>
      <x:c r="G14"/>
      <x:c r="H14"/>
      <x:c r="I14"/>
      <x:c r="J14"/>
      <x:c r="K14"/>
      <x:c r="L14" s="52"/>
      <x:c r="M14" s="52" t="str">
        <x:v>FY2025</x:v>
      </x:c>
      <x:c r="N14" s="127" t="n">
        <x:v>23.731741247391604</x:v>
      </x:c>
      <x:c r="O14" s="127" t="n">
        <x:v>-1.3579101939871705</x:v>
      </x:c>
      <x:c r="P14" s="127" t="n">
        <x:v>-3.2368004126598136</x:v>
      </x:c>
      <x:c r="Q14" s="127" t="n">
        <x:v>-26.404660079634272</x:v>
      </x:c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Q1"/>
  </x:mergeCells>
  <x:conditionalFormatting sqref="A4:D14">
    <x:cfRule type="expression" dxfId="0" priority="1">
      <x:formula>B4&lt;0</x:formula>
    </x:cfRule>
  </x:conditionalFormatting>
  <x:conditionalFormatting sqref="B4:D14">
    <x:cfRule type="cellIs" dxfId="1" priority="2" operator="lessThan">
      <x:formula>0</x:formula>
    </x:cfRule>
  </x:conditionalFormatting>
  <x:pageMargins left="0.7" right="0.7" top="0.75" bottom="0.75" header="0.3" footer="0.3"/>
  <x:drawing xmlns:r="http://schemas.openxmlformats.org/officeDocument/2006/relationships" r:id="R1f2a677c179d4be8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58" hidden="0" customWidth="1"/>
    <x:col min="4" max="4" width="40" hidden="0" customWidth="1"/>
  </x:cols>
  <x:sheetData>
    <x:row r="1" ht="25" customHeight="1">
      <x:c r="A1" s="174" t="str">
        <x:v>Asda Group Limited</x:v>
      </x:c>
      <x:c r="B1" s="174"/>
      <x:c r="C1" s="174"/>
      <x:c r="D1" s="174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 ht="21" customHeight="1">
      <x:c r="A2" s="177" t="str">
        <x:v>Financial Performance Commentary | FY2023-FY2025</x:v>
      </x:c>
      <x:c r="B2" s="177"/>
      <x:c r="C2" s="177"/>
      <x:c r="D2" s="177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19" customHeight="1">
      <x:c r="A3" s="181" t="str">
        <x:v>Area</x:v>
      </x:c>
      <x:c r="B3" s="180" t="str">
        <x:v>Three-year trend</x:v>
      </x:c>
      <x:c r="C3" s="180" t="str">
        <x:v>Interpretation</x:v>
      </x:c>
      <x:c r="D3" s="180" t="str">
        <x:v>FY2025 takeaway</x:v>
      </x:c>
      <x:c r="E3" s="52"/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 ht="55" customHeight="1">
      <x:c r="A4" s="234" t="str">
        <x:v>Profitability</x:v>
      </x:c>
      <x:c r="B4" s="235" t="str">
        <x:v>Revenue rose 4.8% in FY2024 before falling 3.6% in FY2025. Operating margin moved from 2.2% to (0.2%) to (1.4%).</x:v>
      </x:c>
      <x:c r="C4" s="235" t="str">
        <x:v>The deterioration from operating profit to operating losses shows that statutory cost pressure and transformation-related charges outweighed the gross profit generated by the business.</x:v>
      </x:c>
      <x:c r="D4" s="235" t="str">
        <x:v>Profitability weakened materially despite revenue remaining above FY2023.</x:v>
      </x:c>
      <x:c r="E4" s="52"/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 ht="55" customHeight="1">
      <x:c r="A5" s="236" t="str">
        <x:v>Returns</x:v>
      </x:c>
      <x:c r="B5" s="158" t="str">
        <x:v>ROE moved from 5.0% in FY2023 to (14.1%) in FY2024 and (26.4%) in FY2025. ROCE moved from 4.6% to (0.4%) to (3.2%).</x:v>
      </x:c>
      <x:c r="C5" s="158" t="str">
        <x:v>Negative returns in FY2024-FY2025 reflect statutory losses and weaker returns on shareholder and long-term capital.</x:v>
      </x:c>
      <x:c r="D5" s="158" t="str">
        <x:v>FY2025 returns remained negative and deteriorated further.</x:v>
      </x:c>
      <x:c r="E5" s="52"/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 ht="55" customHeight="1">
      <x:c r="A6" s="234" t="str">
        <x:v>Liquidity</x:v>
      </x:c>
      <x:c r="B6" s="235" t="str">
        <x:v>Current ratio stayed below 1.0 at 0.57x, 0.53x and 0.59x; quick ratio was 0.29x, 0.25x and 0.33x.</x:v>
      </x:c>
      <x:c r="C6" s="235" t="str">
        <x:v>Negative working capital is common in grocery retail because suppliers help fund the operating cycle, but it increases reliance on consistent cash generation and inventory turnover.</x:v>
      </x:c>
      <x:c r="D6" s="235" t="str">
        <x:v>Liquidity improved modestly versus FY2024 but remained tight.</x:v>
      </x:c>
      <x:c r="E6" s="52"/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 ht="55" customHeight="1">
      <x:c r="A7" s="236" t="str">
        <x:v>Efficiency</x:v>
      </x:c>
      <x:c r="B7" s="158" t="str">
        <x:v>Asset turnover was 1.33x, 1.46x and 1.41x. Inventory turnover was 14.54x, 15.33x and 14.26x.</x:v>
      </x:c>
      <x:c r="C7" s="158" t="str">
        <x:v>Asda continued to generate substantial sales relative to its asset base, while inventory turnover eased in FY2025 after improving in FY2024.</x:v>
      </x:c>
      <x:c r="D7" s="158" t="str">
        <x:v>Operating efficiency softened in FY2025 but remained broadly stable over the period.</x:v>
      </x:c>
      <x:c r="E7" s="5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 ht="55" customHeight="1">
      <x:c r="A8" s="234" t="str">
        <x:v>Leverage</x:v>
      </x:c>
      <x:c r="B8" s="235" t="str">
        <x:v>Published net debt fell to £3.11bn in FY2025, but net debt/equity rose from 0.98x to 1.15x as total equity declined.</x:v>
      </x:c>
      <x:c r="C8" s="235" t="str">
        <x:v>Lower absolute net debt is positive, but the declining equity base means leverage remains significant when viewed relative to shareholders' funds.</x:v>
      </x:c>
      <x:c r="D8" s="235" t="str">
        <x:v>Debt reduced in absolute terms, while balance-sheet leverage remained elevated.</x:v>
      </x:c>
      <x:c r="E8" s="52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 ht="55" customHeight="1">
      <x:c r="A9" s="236" t="str">
        <x:v>Interest cover</x:v>
      </x:c>
      <x:c r="B9" s="158" t="str">
        <x:v>Interest coverage fell from 1.29x in FY2023 to negative levels in FY2024 and FY2025 using operating profit divided by finance costs.</x:v>
      </x:c>
      <x:c r="C9" s="158" t="str">
        <x:v>Negative operating profit means statutory operating earnings did not cover finance costs under this analytical proxy.</x:v>
      </x:c>
      <x:c r="D9" s="158" t="str">
        <x:v>Financing burden is more significant while statutory operating earnings remain negative.</x:v>
      </x:c>
      <x:c r="E9" s="5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 ht="55" customHeight="1">
      <x:c r="A10" s="234" t="str">
        <x:v>Cash flow</x:v>
      </x:c>
      <x:c r="B10" s="235" t="str">
        <x:v>Operating cash flow was £1.25bn, £0.99bn and £1.24bn. Simplified free cash flow was £0.91bn, £0.61bn and £0.94bn.</x:v>
      </x:c>
      <x:c r="C10" s="235" t="str">
        <x:v>Cash generation recovered strongly in FY2025 despite the statutory loss, showing an important difference between accounting profit and cash performance.</x:v>
      </x:c>
      <x:c r="D10" s="235" t="str">
        <x:v>FY2025 cash generation was a relative strength.</x:v>
      </x:c>
      <x:c r="E10" s="5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 ht="55" customHeight="1">
      <x:c r="A11" s="236" t="str">
        <x:v>Vertical analysis</x:v>
      </x:c>
      <x:c r="B11" s="158" t="str">
        <x:v>Gross margin remained close to 24%, while operating costs increased from about 98.1% of revenue in FY2023 to 101.7% in FY2025. Liabilities rose from 79.7% to 85.2% of total assets.</x:v>
      </x:c>
      <x:c r="C11" s="158" t="str">
        <x:v>The common-size analysis shows a relatively stable gross margin but a weaker operating cost structure and a larger proportion of assets financed by liabilities.</x:v>
      </x:c>
      <x:c r="D11" s="158" t="str">
        <x:v>Cost structure and balance-sheet leverage are the main areas of concern.</x:v>
      </x:c>
      <x:c r="E11" s="5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 ht="55" customHeight="1">
      <x:c r="A12" s="234" t="str">
        <x:v>Overall</x:v>
      </x:c>
      <x:c r="B12" s="235" t="str">
        <x:v>FY2025 combined lower revenue, deeper statutory losses and negative returns with stronger operating cash flow and lower published net debt.</x:v>
      </x:c>
      <x:c r="C12" s="235" t="str">
        <x:v>The three-year picture is mixed. Cash generation and absolute net debt improved in FY2025, while profitability, returns and balance-sheet leverage remained weaker.</x:v>
      </x:c>
      <x:c r="D12" s="235" t="str">
        <x:v>Business analysis only, not an investment recommendation.</x:v>
      </x:c>
      <x:c r="E12" s="5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52"/>
      <x:c r="B13" s="52"/>
      <x:c r="C13" s="52"/>
      <x:c r="D13" s="52"/>
      <x:c r="E13" s="5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52"/>
      <x:c r="B14" s="52"/>
      <x:c r="C14" s="52"/>
      <x:c r="D14" s="52"/>
      <x:c r="E14" s="5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52"/>
      <x:c r="B15" s="52"/>
      <x:c r="C15" s="52"/>
      <x:c r="D15" s="52"/>
      <x:c r="E15" s="5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52"/>
      <x:c r="B16" s="52"/>
      <x:c r="C16" s="52"/>
      <x:c r="D16" s="52"/>
      <x:c r="E16" s="5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52"/>
      <x:c r="B17" s="52"/>
      <x:c r="C17" s="52"/>
      <x:c r="D17" s="52"/>
      <x:c r="E17" s="5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52"/>
      <x:c r="B18" s="52"/>
      <x:c r="C18" s="52"/>
      <x:c r="D18" s="52"/>
      <x:c r="E18" s="5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52"/>
      <x:c r="B19" s="52"/>
      <x:c r="C19" s="52"/>
      <x:c r="D19" s="52"/>
      <x:c r="E19" s="5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52"/>
      <x:c r="B20" s="52"/>
      <x:c r="C20" s="52"/>
      <x:c r="D20" s="52"/>
      <x:c r="E20" s="5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52"/>
      <x:c r="B21" s="52"/>
      <x:c r="C21" s="52"/>
      <x:c r="D21" s="52"/>
      <x:c r="E21" s="5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52"/>
      <x:c r="B22" s="52"/>
      <x:c r="C22" s="52"/>
      <x:c r="D22" s="52"/>
      <x:c r="E22" s="5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2" hidden="0" customWidth="1"/>
    <x:col min="3" max="3" width="50" hidden="0" customWidth="1"/>
    <x:col min="4" max="4" width="45" hidden="0" customWidth="1"/>
    <x:col min="5" max="5" width="18" hidden="0" customWidth="1"/>
  </x:cols>
  <x:sheetData>
    <x:row r="1" ht="25" customHeight="1">
      <x:c r="A1" s="238" t="str">
        <x:v>Asda Group Limited</x:v>
      </x:c>
      <x:c r="B1" s="238"/>
      <x:c r="C1" s="238"/>
      <x:c r="D1" s="238"/>
      <x:c r="E1" s="238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 ht="21" customHeight="1">
      <x:c r="A2" s="177" t="str">
        <x:v>Sources &amp; Methodology</x:v>
      </x:c>
      <x:c r="B2" s="177"/>
      <x:c r="C2" s="177"/>
      <x:c r="D2" s="177"/>
      <x:c r="E2" s="177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  <x:c r="Q2" s="52"/>
      <x:c r="R2" s="52"/>
      <x:c r="S2" s="52"/>
      <x:c r="T2" s="52"/>
      <x:c r="U2" s="52"/>
      <x:c r="V2" s="52"/>
      <x:c r="W2" s="52"/>
      <x:c r="X2" s="52"/>
      <x:c r="Y2" s="52"/>
      <x:c r="Z2" s="52"/>
    </x:row>
    <x:row r="3" ht="19" customHeight="1">
      <x:c r="A3" s="181" t="str">
        <x:v>Source</x:v>
      </x:c>
      <x:c r="B3" s="180" t="str">
        <x:v>Period used</x:v>
      </x:c>
      <x:c r="C3" s="180" t="str">
        <x:v>Key pages</x:v>
      </x:c>
      <x:c r="D3" s="180" t="str">
        <x:v>Use in workbook</x:v>
      </x:c>
      <x:c r="E3" s="180" t="str">
        <x:v>URL</x:v>
      </x:c>
      <x:c r="F3" s="52"/>
      <x:c r="G3" s="52"/>
      <x:c r="H3" s="52"/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>
      <x:c r="A4" s="162" t="str">
        <x:v>Bellis Finco PLC Annual Report and Consolidated Financial Statements 2023</x:v>
      </x:c>
      <x:c r="B4" s="162" t="str">
        <x:v>FY2023</x:v>
      </x:c>
      <x:c r="C4" s="162" t="str">
        <x:v>Income Statement p.88; Balance Sheet p.90; Cash Flow pp.94-95; Note 5 p.132; KPIs p.10</x:v>
      </x:c>
      <x:c r="D4" s="162" t="str">
        <x:v>FY2023 raw financial inputs</x:v>
      </x:c>
      <x:c r="E4" s="162" t="str">
        <x:v>https://corporate.asda.com/investor-relations</x:v>
      </x:c>
      <x:c r="F4" s="52"/>
      <x:c r="G4" s="52"/>
      <x:c r="H4" s="52"/>
      <x:c r="I4" s="52"/>
      <x:c r="J4" s="52"/>
      <x:c r="K4" s="52"/>
      <x:c r="L4" s="52"/>
      <x:c r="M4" s="52"/>
      <x:c r="N4" s="52"/>
      <x:c r="O4" s="52"/>
      <x:c r="P4" s="52"/>
      <x:c r="Q4" s="52"/>
      <x:c r="R4" s="52"/>
      <x:c r="S4" s="52"/>
      <x:c r="T4" s="52"/>
      <x:c r="U4" s="52"/>
      <x:c r="V4" s="52"/>
      <x:c r="W4" s="52"/>
      <x:c r="X4" s="52"/>
      <x:c r="Y4" s="52"/>
      <x:c r="Z4" s="52"/>
    </x:row>
    <x:row r="5">
      <x:c r="A5" s="162" t="str">
        <x:v>Bellis Finco PLC Annual Report and Consolidated Financial Statements 2024</x:v>
      </x:c>
      <x:c r="B5" s="162" t="str">
        <x:v>FY2024</x:v>
      </x:c>
      <x:c r="C5" s="162" t="str">
        <x:v>Income Statement p.89; Balance Sheet p.91; Cash Flow pp.94-95; Note 5 p.129; KPIs pp.8-10</x:v>
      </x:c>
      <x:c r="D5" s="162" t="str">
        <x:v>FY2024 raw financial inputs</x:v>
      </x:c>
      <x:c r="E5" s="162" t="str">
        <x:v>https://corporate.asda.com/investor-relations</x:v>
      </x:c>
      <x:c r="F5" s="52"/>
      <x:c r="G5" s="52"/>
      <x:c r="H5" s="52"/>
      <x:c r="I5" s="52"/>
      <x:c r="J5" s="52"/>
      <x:c r="K5" s="52"/>
      <x:c r="L5" s="52"/>
      <x:c r="M5" s="52"/>
      <x:c r="N5" s="52"/>
      <x:c r="O5" s="52"/>
      <x:c r="P5" s="52"/>
      <x:c r="Q5" s="52"/>
      <x:c r="R5" s="52"/>
      <x:c r="S5" s="52"/>
      <x:c r="T5" s="52"/>
      <x:c r="U5" s="52"/>
      <x:c r="V5" s="52"/>
      <x:c r="W5" s="52"/>
      <x:c r="X5" s="52"/>
      <x:c r="Y5" s="52"/>
      <x:c r="Z5" s="52"/>
    </x:row>
    <x:row r="6">
      <x:c r="A6" s="162" t="str">
        <x:v>Bellis Finco PLC Full Annual Report and Financial Statements 2025</x:v>
      </x:c>
      <x:c r="B6" s="162" t="str">
        <x:v>FY2025</x:v>
      </x:c>
      <x:c r="C6" s="162" t="str">
        <x:v>Income Statement p.98; Balance Sheet p.100; Cash Flow p.103; KPIs pp.10-12; Capital Structure p.19</x:v>
      </x:c>
      <x:c r="D6" s="162" t="str">
        <x:v>FY2025 raw financial inputs</x:v>
      </x:c>
      <x:c r="E6" s="162" t="str">
        <x:v>https://corporate.asda.com/investor-relations</x:v>
      </x:c>
      <x:c r="F6" s="52"/>
      <x:c r="G6" s="52"/>
      <x:c r="H6" s="52"/>
      <x:c r="I6" s="52"/>
      <x:c r="J6" s="52"/>
      <x:c r="K6" s="52"/>
      <x:c r="L6" s="52"/>
      <x:c r="M6" s="52"/>
      <x:c r="N6" s="52"/>
      <x:c r="O6" s="52"/>
      <x:c r="P6" s="52"/>
      <x:c r="Q6" s="52"/>
      <x:c r="R6" s="52"/>
      <x:c r="S6" s="52"/>
      <x:c r="T6" s="52"/>
      <x:c r="U6" s="52"/>
      <x:c r="V6" s="52"/>
      <x:c r="W6" s="52"/>
      <x:c r="X6" s="52"/>
      <x:c r="Y6" s="52"/>
      <x:c r="Z6" s="52"/>
    </x:row>
    <x:row r="7">
      <x:c r="A7" s="213"/>
      <x:c r="B7" s="213"/>
      <x:c r="C7" s="213"/>
      <x:c r="D7" s="213"/>
      <x:c r="E7" s="162"/>
      <x:c r="F7" s="52"/>
      <x:c r="G7" s="52"/>
      <x:c r="H7" s="52"/>
      <x:c r="I7" s="52"/>
      <x:c r="J7" s="52"/>
      <x:c r="K7" s="52"/>
      <x:c r="L7" s="52"/>
      <x:c r="M7" s="52"/>
      <x:c r="N7" s="52"/>
      <x:c r="O7" s="52"/>
      <x:c r="P7" s="52"/>
      <x:c r="Q7" s="52"/>
      <x:c r="R7" s="52"/>
      <x:c r="S7" s="52"/>
      <x:c r="T7" s="52"/>
      <x:c r="U7" s="52"/>
      <x:c r="V7" s="52"/>
      <x:c r="W7" s="52"/>
      <x:c r="X7" s="52"/>
      <x:c r="Y7" s="52"/>
      <x:c r="Z7" s="52"/>
    </x:row>
    <x:row r="8">
      <x:c r="A8" s="163" t="str">
        <x:v>Methodology</x:v>
      </x:c>
      <x:c r="B8" s="163" t="str">
        <x:v>Definition / approach</x:v>
      </x:c>
      <x:c r="C8" s="163"/>
      <x:c r="D8" s="163"/>
      <x:c r="E8" s="163"/>
      <x:c r="F8" s="52"/>
      <x:c r="G8" s="52"/>
      <x:c r="H8" s="52"/>
      <x:c r="I8" s="52"/>
      <x:c r="J8" s="52"/>
      <x:c r="K8" s="52"/>
      <x:c r="L8" s="52"/>
      <x:c r="M8" s="52"/>
      <x:c r="N8" s="52"/>
      <x:c r="O8" s="52"/>
      <x:c r="P8" s="52"/>
      <x:c r="Q8" s="52"/>
      <x:c r="R8" s="52"/>
      <x:c r="S8" s="52"/>
      <x:c r="T8" s="52"/>
      <x:c r="U8" s="52"/>
      <x:c r="V8" s="52"/>
      <x:c r="W8" s="52"/>
      <x:c r="X8" s="52"/>
      <x:c r="Y8" s="52"/>
      <x:c r="Z8" s="52"/>
    </x:row>
    <x:row r="9">
      <x:c r="A9" s="162" t="str">
        <x:v>Gross profit / margin</x:v>
      </x:c>
      <x:c r="B9" s="162" t="str">
        <x:v>Gross profit = Revenue - Cost of goods sold. Gross margin = Gross profit / Revenue.</x:v>
      </x:c>
      <x:c r="C9" s="162"/>
      <x:c r="D9" s="162"/>
      <x:c r="E9" s="162"/>
      <x:c r="F9" s="52"/>
      <x:c r="G9" s="52"/>
      <x:c r="H9" s="52"/>
      <x:c r="I9" s="52"/>
      <x:c r="J9" s="52"/>
      <x:c r="K9" s="52"/>
      <x:c r="L9" s="52"/>
      <x:c r="M9" s="52"/>
      <x:c r="N9" s="52"/>
      <x:c r="O9" s="52"/>
      <x:c r="P9" s="52"/>
      <x:c r="Q9" s="52"/>
      <x:c r="R9" s="52"/>
      <x:c r="S9" s="52"/>
      <x:c r="T9" s="52"/>
      <x:c r="U9" s="52"/>
      <x:c r="V9" s="52"/>
      <x:c r="W9" s="52"/>
      <x:c r="X9" s="52"/>
      <x:c r="Y9" s="52"/>
      <x:c r="Z9" s="52"/>
    </x:row>
    <x:row r="10">
      <x:c r="A10" s="162" t="str">
        <x:v>Revenue growth</x:v>
      </x:c>
      <x:c r="B10" s="162" t="str">
        <x:v>(New revenue - Old revenue) / Old revenue.</x:v>
      </x:c>
      <x:c r="C10" s="162"/>
      <x:c r="D10" s="162"/>
      <x:c r="E10" s="162"/>
      <x:c r="F10" s="52"/>
      <x:c r="G10" s="52"/>
      <x:c r="H10" s="52"/>
      <x:c r="I10" s="52"/>
      <x:c r="J10" s="52"/>
      <x:c r="K10" s="52"/>
      <x:c r="L10" s="52"/>
      <x:c r="M10" s="52"/>
      <x:c r="N10" s="52"/>
      <x:c r="O10" s="52"/>
      <x:c r="P10" s="52"/>
      <x:c r="Q10" s="52"/>
      <x:c r="R10" s="52"/>
      <x:c r="S10" s="52"/>
      <x:c r="T10" s="52"/>
      <x:c r="U10" s="52"/>
      <x:c r="V10" s="52"/>
      <x:c r="W10" s="52"/>
      <x:c r="X10" s="52"/>
      <x:c r="Y10" s="52"/>
      <x:c r="Z10" s="52"/>
    </x:row>
    <x:row r="11">
      <x:c r="A11" s="162" t="str">
        <x:v>ROE</x:v>
      </x:c>
      <x:c r="B11" s="162" t="str">
        <x:v>Profit/(loss) for year / closing total equity.</x:v>
      </x:c>
      <x:c r="C11" s="162"/>
      <x:c r="D11" s="162"/>
      <x:c r="E11" s="162"/>
      <x:c r="F11" s="52"/>
      <x:c r="G11" s="52"/>
      <x:c r="H11" s="52"/>
      <x:c r="I11" s="52"/>
      <x:c r="J11" s="52"/>
      <x:c r="K11" s="52"/>
      <x:c r="L11" s="52"/>
      <x:c r="M11" s="52"/>
      <x:c r="N11" s="52"/>
      <x:c r="O11" s="52"/>
      <x:c r="P11" s="52"/>
      <x:c r="Q11" s="52"/>
      <x:c r="R11" s="52"/>
      <x:c r="S11" s="52"/>
      <x:c r="T11" s="52"/>
      <x:c r="U11" s="52"/>
      <x:c r="V11" s="52"/>
      <x:c r="W11" s="52"/>
      <x:c r="X11" s="52"/>
      <x:c r="Y11" s="52"/>
      <x:c r="Z11" s="52"/>
    </x:row>
    <x:row r="12">
      <x:c r="A12" s="162" t="str">
        <x:v>ROCE</x:v>
      </x:c>
      <x:c r="B12" s="162" t="str">
        <x:v>Operating profit/(loss) / closing capital employed. Capital employed = equity + borrowings + lease liabilities + shareholder loan - cash.</x:v>
      </x:c>
      <x:c r="C12" s="162"/>
      <x:c r="D12" s="162"/>
      <x:c r="E12" s="162"/>
      <x:c r="F12" s="52"/>
      <x:c r="G12" s="52"/>
      <x:c r="H12" s="52"/>
      <x:c r="I12" s="52"/>
      <x:c r="J12" s="52"/>
      <x:c r="K12" s="52"/>
      <x:c r="L12" s="52"/>
      <x:c r="M12" s="52"/>
      <x:c r="N12" s="52"/>
      <x:c r="O12" s="52"/>
      <x:c r="P12" s="52"/>
      <x:c r="Q12" s="52"/>
      <x:c r="R12" s="52"/>
      <x:c r="S12" s="52"/>
      <x:c r="T12" s="52"/>
      <x:c r="U12" s="52"/>
      <x:c r="V12" s="52"/>
      <x:c r="W12" s="52"/>
      <x:c r="X12" s="52"/>
      <x:c r="Y12" s="52"/>
      <x:c r="Z12" s="52"/>
    </x:row>
    <x:row r="13">
      <x:c r="A13" s="162" t="str">
        <x:v>Current ratio</x:v>
      </x:c>
      <x:c r="B13" s="162" t="str">
        <x:v>(Current assets + assets held for sale) / (current liabilities + liabilities associated with held-for-sale assets).</x:v>
      </x:c>
      <x:c r="C13" s="162"/>
      <x:c r="D13" s="162"/>
      <x:c r="E13" s="162"/>
      <x:c r="F13" s="52"/>
      <x:c r="G13" s="52"/>
      <x:c r="H13" s="52"/>
      <x:c r="I13" s="52"/>
      <x:c r="J13" s="52"/>
      <x:c r="K13" s="52"/>
      <x:c r="L13" s="52"/>
      <x:c r="M13" s="52"/>
      <x:c r="N13" s="52"/>
      <x:c r="O13" s="52"/>
      <x:c r="P13" s="52"/>
      <x:c r="Q13" s="52"/>
      <x:c r="R13" s="52"/>
      <x:c r="S13" s="52"/>
      <x:c r="T13" s="52"/>
      <x:c r="U13" s="52"/>
      <x:c r="V13" s="52"/>
      <x:c r="W13" s="52"/>
      <x:c r="X13" s="52"/>
      <x:c r="Y13" s="52"/>
      <x:c r="Z13" s="52"/>
    </x:row>
    <x:row r="14">
      <x:c r="A14" s="162" t="str">
        <x:v>Quick ratio</x:v>
      </x:c>
      <x:c r="B14" s="162" t="str">
        <x:v>(Current assets + assets held for sale - inventories) / total current liabilities.</x:v>
      </x:c>
      <x:c r="C14" s="162"/>
      <x:c r="D14" s="162"/>
      <x:c r="E14" s="162"/>
      <x:c r="F14" s="52"/>
      <x:c r="G14" s="52"/>
      <x:c r="H14" s="52"/>
      <x:c r="I14" s="52"/>
      <x:c r="J14" s="52"/>
      <x:c r="K14" s="52"/>
      <x:c r="L14" s="52"/>
      <x:c r="M14" s="52"/>
      <x:c r="N14" s="52"/>
      <x:c r="O14" s="52"/>
      <x:c r="P14" s="52"/>
      <x:c r="Q14" s="52"/>
      <x:c r="R14" s="52"/>
      <x:c r="S14" s="52"/>
      <x:c r="T14" s="52"/>
      <x:c r="U14" s="52"/>
      <x:c r="V14" s="52"/>
      <x:c r="W14" s="52"/>
      <x:c r="X14" s="52"/>
      <x:c r="Y14" s="52"/>
      <x:c r="Z14" s="52"/>
    </x:row>
    <x:row r="15">
      <x:c r="A15" s="162" t="str">
        <x:v>Working capital</x:v>
      </x:c>
      <x:c r="B15" s="162" t="str">
        <x:v>Total current assets including held-for-sale assets - total current liabilities including held-for-sale liabilities.</x:v>
      </x:c>
      <x:c r="C15" s="162"/>
      <x:c r="D15" s="162"/>
      <x:c r="E15" s="162"/>
      <x:c r="F15" s="52"/>
      <x:c r="G15" s="52"/>
      <x:c r="H15" s="52"/>
      <x:c r="I15" s="52"/>
      <x:c r="J15" s="52"/>
      <x:c r="K15" s="52"/>
      <x:c r="L15" s="52"/>
      <x:c r="M15" s="52"/>
      <x:c r="N15" s="52"/>
      <x:c r="O15" s="52"/>
      <x:c r="P15" s="52"/>
      <x:c r="Q15" s="52"/>
      <x:c r="R15" s="52"/>
      <x:c r="S15" s="52"/>
      <x:c r="T15" s="52"/>
      <x:c r="U15" s="52"/>
      <x:c r="V15" s="52"/>
      <x:c r="W15" s="52"/>
      <x:c r="X15" s="52"/>
      <x:c r="Y15" s="52"/>
      <x:c r="Z15" s="52"/>
    </x:row>
    <x:row r="16">
      <x:c r="A16" s="162" t="str">
        <x:v>Asset turnover</x:v>
      </x:c>
      <x:c r="B16" s="162" t="str">
        <x:v>Revenue / closing total assets.</x:v>
      </x:c>
      <x:c r="C16" s="162"/>
      <x:c r="D16" s="162"/>
      <x:c r="E16" s="162"/>
      <x:c r="F16" s="52"/>
      <x:c r="G16" s="52"/>
      <x:c r="H16" s="52"/>
      <x:c r="I16" s="52"/>
      <x:c r="J16" s="52"/>
      <x:c r="K16" s="52"/>
      <x:c r="L16" s="52"/>
      <x:c r="M16" s="52"/>
      <x:c r="N16" s="52"/>
      <x:c r="O16" s="52"/>
      <x:c r="P16" s="52"/>
      <x:c r="Q16" s="52"/>
      <x:c r="R16" s="52"/>
      <x:c r="S16" s="52"/>
      <x:c r="T16" s="52"/>
      <x:c r="U16" s="52"/>
      <x:c r="V16" s="52"/>
      <x:c r="W16" s="52"/>
      <x:c r="X16" s="52"/>
      <x:c r="Y16" s="52"/>
      <x:c r="Z16" s="52"/>
    </x:row>
    <x:row r="17">
      <x:c r="A17" s="162" t="str">
        <x:v>Inventory turnover</x:v>
      </x:c>
      <x:c r="B17" s="162" t="str">
        <x:v>Absolute cost of goods sold / closing inventories.</x:v>
      </x:c>
      <x:c r="C17" s="162"/>
      <x:c r="D17" s="162"/>
      <x:c r="E17" s="162"/>
      <x:c r="F17" s="52"/>
      <x:c r="G17" s="52"/>
      <x:c r="H17" s="52"/>
      <x:c r="I17" s="52"/>
      <x:c r="J17" s="52"/>
      <x:c r="K17" s="52"/>
      <x:c r="L17" s="52"/>
      <x:c r="M17" s="52"/>
      <x:c r="N17" s="52"/>
      <x:c r="O17" s="52"/>
      <x:c r="P17" s="52"/>
      <x:c r="Q17" s="52"/>
      <x:c r="R17" s="52"/>
      <x:c r="S17" s="52"/>
      <x:c r="T17" s="52"/>
      <x:c r="U17" s="52"/>
      <x:c r="V17" s="52"/>
      <x:c r="W17" s="52"/>
      <x:c r="X17" s="52"/>
      <x:c r="Y17" s="52"/>
      <x:c r="Z17" s="52"/>
    </x:row>
    <x:row r="18">
      <x:c r="A18" s="162" t="str">
        <x:v>Interest coverage</x:v>
      </x:c>
      <x:c r="B18" s="162" t="str">
        <x:v>Operating profit/(loss) / absolute finance costs. Used as an analytical proxy because finance costs include more than pure cash interest.</x:v>
      </x:c>
      <x:c r="C18" s="162"/>
      <x:c r="D18" s="162"/>
      <x:c r="E18" s="162"/>
      <x:c r="F18" s="52"/>
      <x:c r="G18" s="52"/>
      <x:c r="H18" s="52"/>
      <x:c r="I18" s="52"/>
      <x:c r="J18" s="52"/>
      <x:c r="K18" s="52"/>
      <x:c r="L18" s="52"/>
      <x:c r="M18" s="52"/>
      <x:c r="N18" s="52"/>
      <x:c r="O18" s="52"/>
      <x:c r="P18" s="52"/>
      <x:c r="Q18" s="52"/>
      <x:c r="R18" s="52"/>
      <x:c r="S18" s="52"/>
      <x:c r="T18" s="52"/>
      <x:c r="U18" s="52"/>
      <x:c r="V18" s="52"/>
      <x:c r="W18" s="52"/>
      <x:c r="X18" s="52"/>
      <x:c r="Y18" s="52"/>
      <x:c r="Z18" s="52"/>
    </x:row>
    <x:row r="19">
      <x:c r="A19" s="162" t="str">
        <x:v>Gross debt / equity</x:v>
      </x:c>
      <x:c r="B19" s="162" t="str">
        <x:v>Borrowings + lease liabilities + shareholder loan / total equity.</x:v>
      </x:c>
      <x:c r="C19" s="162"/>
      <x:c r="D19" s="162"/>
      <x:c r="E19" s="162"/>
      <x:c r="F19" s="52"/>
      <x:c r="G19" s="52"/>
      <x:c r="H19" s="52"/>
      <x:c r="I19" s="52"/>
      <x:c r="J19" s="52"/>
      <x:c r="K19" s="52"/>
      <x:c r="L19" s="52"/>
      <x:c r="M19" s="52"/>
      <x:c r="N19" s="52"/>
      <x:c r="O19" s="52"/>
      <x:c r="P19" s="52"/>
      <x:c r="Q19" s="52"/>
      <x:c r="R19" s="52"/>
      <x:c r="S19" s="52"/>
      <x:c r="T19" s="52"/>
      <x:c r="U19" s="52"/>
      <x:c r="V19" s="52"/>
      <x:c r="W19" s="52"/>
      <x:c r="X19" s="52"/>
      <x:c r="Y19" s="52"/>
      <x:c r="Z19" s="52"/>
    </x:row>
    <x:row r="20">
      <x:c r="A20" s="162" t="str">
        <x:v>Net debt / equity</x:v>
      </x:c>
      <x:c r="B20" s="162" t="str">
        <x:v>Published Asda net debt APM / total equity.</x:v>
      </x:c>
      <x:c r="C20" s="162"/>
      <x:c r="D20" s="162"/>
      <x:c r="E20" s="162"/>
      <x:c r="F20" s="52"/>
      <x:c r="G20" s="52"/>
      <x:c r="H20" s="52"/>
      <x:c r="I20" s="52"/>
      <x:c r="J20" s="52"/>
      <x:c r="K20" s="52"/>
      <x:c r="L20" s="52"/>
      <x:c r="M20" s="52"/>
      <x:c r="N20" s="52"/>
      <x:c r="O20" s="52"/>
      <x:c r="P20" s="52"/>
      <x:c r="Q20" s="52"/>
      <x:c r="R20" s="52"/>
      <x:c r="S20" s="52"/>
      <x:c r="T20" s="52"/>
      <x:c r="U20" s="52"/>
      <x:c r="V20" s="52"/>
      <x:c r="W20" s="52"/>
      <x:c r="X20" s="52"/>
      <x:c r="Y20" s="52"/>
      <x:c r="Z20" s="52"/>
    </x:row>
    <x:row r="21">
      <x:c r="A21" s="162" t="str">
        <x:v>Vertical analysis</x:v>
      </x:c>
      <x:c r="B21" s="162" t="str">
        <x:v>Income statement items expressed as % of revenue; selected balance-sheet items expressed as % of total assets.</x:v>
      </x:c>
      <x:c r="C21" s="162"/>
      <x:c r="D21" s="162"/>
      <x:c r="E21" s="162"/>
      <x:c r="F21" s="52"/>
      <x:c r="G21" s="52"/>
      <x:c r="H21" s="52"/>
      <x:c r="I21" s="52"/>
      <x:c r="J21" s="52"/>
      <x:c r="K21" s="52"/>
      <x:c r="L21" s="52"/>
      <x:c r="M21" s="52"/>
      <x:c r="N21" s="52"/>
      <x:c r="O21" s="52"/>
      <x:c r="P21" s="52"/>
      <x:c r="Q21" s="52"/>
      <x:c r="R21" s="52"/>
      <x:c r="S21" s="52"/>
      <x:c r="T21" s="52"/>
      <x:c r="U21" s="52"/>
      <x:c r="V21" s="52"/>
      <x:c r="W21" s="52"/>
      <x:c r="X21" s="52"/>
      <x:c r="Y21" s="52"/>
      <x:c r="Z21" s="52"/>
    </x:row>
    <x:row r="22">
      <x:c r="A22" s="162" t="str">
        <x:v>Comparability caution</x:v>
      </x:c>
      <x:c r="B22" s="162" t="str">
        <x:v>FY2023-FY2025 include acquisitions, Project Future transformation costs and material non-underlying items. Statutory profit trends should be read alongside cash flow, leverage and disclosed APMs.</x:v>
      </x:c>
      <x:c r="C22" s="162"/>
      <x:c r="D22" s="162"/>
      <x:c r="E22" s="162"/>
      <x:c r="F22" s="52"/>
      <x:c r="G22" s="52"/>
      <x:c r="H22" s="52"/>
      <x:c r="I22" s="52"/>
      <x:c r="J22" s="52"/>
      <x:c r="K22" s="52"/>
      <x:c r="L22" s="52"/>
      <x:c r="M22" s="52"/>
      <x:c r="N22" s="52"/>
      <x:c r="O22" s="52"/>
      <x:c r="P22" s="52"/>
      <x:c r="Q22" s="52"/>
      <x:c r="R22" s="52"/>
      <x:c r="S22" s="52"/>
      <x:c r="T22" s="52"/>
      <x:c r="U22" s="52"/>
      <x:c r="V22" s="52"/>
      <x:c r="W22" s="52"/>
      <x:c r="X22" s="52"/>
      <x:c r="Y22" s="52"/>
      <x:c r="Z22" s="52"/>
    </x:row>
    <x:row r="23">
      <x:c r="A23" s="52"/>
      <x:c r="B23" s="52"/>
      <x:c r="C23" s="52"/>
      <x:c r="D23" s="52"/>
      <x:c r="E23" s="52"/>
      <x:c r="F23" s="52"/>
      <x:c r="G23" s="52"/>
      <x:c r="H23" s="52"/>
      <x:c r="I23" s="52"/>
      <x:c r="J23" s="52"/>
      <x:c r="K23" s="52"/>
      <x:c r="L23" s="52"/>
      <x:c r="M23" s="52"/>
      <x:c r="N23" s="52"/>
      <x:c r="O23" s="52"/>
      <x:c r="P23" s="52"/>
      <x:c r="Q23" s="52"/>
      <x:c r="R23" s="52"/>
      <x:c r="S23" s="52"/>
      <x:c r="T23" s="52"/>
      <x:c r="U23" s="52"/>
      <x:c r="V23" s="52"/>
      <x:c r="W23" s="52"/>
      <x:c r="X23" s="52"/>
      <x:c r="Y23" s="52"/>
      <x:c r="Z23" s="52"/>
    </x:row>
    <x:row r="24">
      <x:c r="A24" s="52"/>
      <x:c r="B24" s="52"/>
      <x:c r="C24" s="52"/>
      <x:c r="D24" s="52"/>
      <x:c r="E24" s="52"/>
      <x:c r="F24" s="52"/>
      <x:c r="G24" s="52"/>
      <x:c r="H24" s="52"/>
      <x:c r="I24" s="52"/>
      <x:c r="J24" s="52"/>
      <x:c r="K24" s="52"/>
      <x:c r="L24" s="52"/>
      <x:c r="M24" s="52"/>
      <x:c r="N24" s="52"/>
      <x:c r="O24" s="52"/>
      <x:c r="P24" s="52"/>
      <x:c r="Q24" s="52"/>
      <x:c r="R24" s="52"/>
      <x:c r="S24" s="52"/>
      <x:c r="T24" s="52"/>
      <x:c r="U24" s="52"/>
      <x:c r="V24" s="52"/>
      <x:c r="W24" s="52"/>
      <x:c r="X24" s="52"/>
      <x:c r="Y24" s="52"/>
      <x:c r="Z24" s="52"/>
    </x:row>
    <x:row r="25">
      <x:c r="A25" s="52"/>
      <x:c r="B25" s="52"/>
      <x:c r="C25" s="52"/>
      <x:c r="D25" s="52"/>
      <x:c r="E25" s="52"/>
      <x:c r="F25" s="52"/>
      <x:c r="G25" s="52"/>
      <x:c r="H25" s="52"/>
      <x:c r="I25" s="52"/>
      <x:c r="J25" s="52"/>
      <x:c r="K25" s="52"/>
      <x:c r="L25" s="52"/>
      <x:c r="M25" s="52"/>
      <x:c r="N25" s="52"/>
      <x:c r="O25" s="52"/>
      <x:c r="P25" s="52"/>
      <x:c r="Q25" s="52"/>
      <x:c r="R25" s="52"/>
      <x:c r="S25" s="52"/>
      <x:c r="T25" s="52"/>
      <x:c r="U25" s="52"/>
      <x:c r="V25" s="52"/>
      <x:c r="W25" s="52"/>
      <x:c r="X25" s="52"/>
      <x:c r="Y25" s="52"/>
      <x:c r="Z25" s="52"/>
    </x:row>
    <x:row r="26">
      <x:c r="A26" s="52"/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  <x:c r="O26" s="52"/>
      <x:c r="P26" s="52"/>
      <x:c r="Q26" s="52"/>
      <x:c r="R26" s="52"/>
      <x:c r="S26" s="52"/>
      <x:c r="T26" s="52"/>
      <x:c r="U26" s="52"/>
      <x:c r="V26" s="52"/>
      <x:c r="W26" s="52"/>
      <x:c r="X26" s="52"/>
      <x:c r="Y26" s="52"/>
      <x:c r="Z26" s="52"/>
    </x:row>
    <x:row r="27">
      <x:c r="A27" s="52"/>
      <x:c r="B27" s="52"/>
      <x:c r="C27" s="52"/>
      <x:c r="D27" s="52"/>
      <x:c r="E27" s="52"/>
      <x:c r="F27" s="52"/>
      <x:c r="G27" s="52"/>
      <x:c r="H27" s="52"/>
      <x:c r="I27" s="52"/>
      <x:c r="J27" s="52"/>
      <x:c r="K27" s="52"/>
      <x:c r="L27" s="52"/>
      <x:c r="M27" s="52"/>
      <x:c r="N27" s="52"/>
      <x:c r="O27" s="52"/>
      <x:c r="P27" s="52"/>
      <x:c r="Q27" s="52"/>
      <x:c r="R27" s="52"/>
      <x:c r="S27" s="52"/>
      <x:c r="T27" s="52"/>
      <x:c r="U27" s="52"/>
      <x:c r="V27" s="52"/>
      <x:c r="W27" s="52"/>
      <x:c r="X27" s="52"/>
      <x:c r="Y27" s="52"/>
      <x:c r="Z27" s="52"/>
    </x:row>
    <x:row r="28">
      <x:c r="A28" s="52"/>
      <x:c r="B28" s="52"/>
      <x:c r="C28" s="52"/>
      <x:c r="D28" s="52"/>
      <x:c r="E28" s="52"/>
      <x:c r="F28" s="52"/>
      <x:c r="G28" s="52"/>
      <x:c r="H28" s="52"/>
      <x:c r="I28" s="52"/>
      <x:c r="J28" s="52"/>
      <x:c r="K28" s="52"/>
      <x:c r="L28" s="52"/>
      <x:c r="M28" s="52"/>
      <x:c r="N28" s="52"/>
      <x:c r="O28" s="52"/>
      <x:c r="P28" s="52"/>
      <x:c r="Q28" s="52"/>
      <x:c r="R28" s="52"/>
      <x:c r="S28" s="52"/>
      <x:c r="T28" s="52"/>
      <x:c r="U28" s="52"/>
      <x:c r="V28" s="52"/>
      <x:c r="W28" s="52"/>
      <x:c r="X28" s="52"/>
      <x:c r="Y28" s="52"/>
      <x:c r="Z28" s="52"/>
    </x:row>
    <x:row r="29">
      <x:c r="A29" s="52"/>
      <x:c r="B29" s="52"/>
      <x:c r="C29" s="52"/>
      <x:c r="D29" s="52"/>
      <x:c r="E29" s="52"/>
      <x:c r="F29" s="52"/>
      <x:c r="G29" s="52"/>
      <x:c r="H29" s="52"/>
      <x:c r="I29" s="52"/>
      <x:c r="J29" s="52"/>
      <x:c r="K29" s="52"/>
      <x:c r="L29" s="52"/>
      <x:c r="M29" s="52"/>
      <x:c r="N29" s="52"/>
      <x:c r="O29" s="52"/>
      <x:c r="P29" s="52"/>
      <x:c r="Q29" s="52"/>
      <x:c r="R29" s="52"/>
      <x:c r="S29" s="52"/>
      <x:c r="T29" s="52"/>
      <x:c r="U29" s="52"/>
      <x:c r="V29" s="52"/>
      <x:c r="W29" s="52"/>
      <x:c r="X29" s="52"/>
      <x:c r="Y29" s="52"/>
      <x:c r="Z29" s="52"/>
    </x:row>
    <x:row r="30">
      <x:c r="A30" s="52"/>
      <x:c r="B30" s="52"/>
      <x:c r="C30" s="52"/>
      <x:c r="D30" s="52"/>
      <x:c r="E30" s="52"/>
      <x:c r="F30" s="52"/>
      <x:c r="G30" s="52"/>
      <x:c r="H30" s="52"/>
      <x:c r="I30" s="52"/>
      <x:c r="J30" s="52"/>
      <x:c r="K30" s="52"/>
      <x:c r="L30" s="52"/>
      <x:c r="M30" s="52"/>
      <x:c r="N30" s="52"/>
      <x:c r="O30" s="52"/>
      <x:c r="P30" s="52"/>
      <x:c r="Q30" s="52"/>
      <x:c r="R30" s="52"/>
      <x:c r="S30" s="52"/>
      <x:c r="T30" s="52"/>
      <x:c r="U30" s="52"/>
      <x:c r="V30" s="52"/>
      <x:c r="W30" s="52"/>
      <x:c r="X30" s="52"/>
      <x:c r="Y30" s="52"/>
      <x:c r="Z30" s="52"/>
    </x:row>
    <x:row r="31">
      <x:c r="A31" s="52"/>
      <x:c r="B31" s="52"/>
      <x:c r="C31" s="52"/>
      <x:c r="D31" s="52"/>
      <x:c r="E31" s="52"/>
      <x:c r="F31" s="52"/>
      <x:c r="G31" s="52"/>
      <x:c r="H31" s="52"/>
      <x:c r="I31" s="52"/>
      <x:c r="J31" s="52"/>
      <x:c r="K31" s="52"/>
      <x:c r="L31" s="52"/>
      <x:c r="M31" s="52"/>
      <x:c r="N31" s="52"/>
      <x:c r="O31" s="52"/>
      <x:c r="P31" s="52"/>
      <x:c r="Q31" s="52"/>
      <x:c r="R31" s="52"/>
      <x:c r="S31" s="52"/>
      <x:c r="T31" s="52"/>
      <x:c r="U31" s="52"/>
      <x:c r="V31" s="52"/>
      <x:c r="W31" s="52"/>
      <x:c r="X31" s="52"/>
      <x:c r="Y31" s="52"/>
      <x:c r="Z31" s="52"/>
    </x:row>
    <x:row r="32">
      <x:c r="A32" s="52"/>
      <x:c r="B32" s="52"/>
      <x:c r="C32" s="52"/>
      <x:c r="D32" s="52"/>
      <x:c r="E32" s="52"/>
      <x:c r="F32" s="52"/>
      <x:c r="G32" s="52"/>
      <x:c r="H32" s="52"/>
      <x:c r="I32" s="52"/>
      <x:c r="J32" s="52"/>
      <x:c r="K32" s="52"/>
      <x:c r="L32" s="52"/>
      <x:c r="M32" s="52"/>
      <x:c r="N32" s="52"/>
      <x:c r="O32" s="52"/>
      <x:c r="P32" s="52"/>
      <x:c r="Q32" s="52"/>
      <x:c r="R32" s="52"/>
      <x:c r="S32" s="52"/>
      <x:c r="T32" s="52"/>
      <x:c r="U32" s="52"/>
      <x:c r="V32" s="52"/>
      <x:c r="W32" s="52"/>
      <x:c r="X32" s="52"/>
      <x:c r="Y32" s="52"/>
      <x:c r="Z32" s="52"/>
    </x:row>
    <x:row r="33">
      <x:c r="A33" s="52"/>
      <x:c r="B33" s="52"/>
      <x:c r="C33" s="52"/>
      <x:c r="D33" s="52"/>
      <x:c r="E33" s="52"/>
      <x:c r="F33" s="52"/>
      <x:c r="G33" s="52"/>
      <x:c r="H33" s="52"/>
      <x:c r="I33" s="52"/>
      <x:c r="J33" s="52"/>
      <x:c r="K33" s="52"/>
      <x:c r="L33" s="52"/>
      <x:c r="M33" s="52"/>
      <x:c r="N33" s="52"/>
      <x:c r="O33" s="52"/>
      <x:c r="P33" s="52"/>
      <x:c r="Q33" s="52"/>
      <x:c r="R33" s="52"/>
      <x:c r="S33" s="52"/>
      <x:c r="T33" s="52"/>
      <x:c r="U33" s="52"/>
      <x:c r="V33" s="52"/>
      <x:c r="W33" s="52"/>
      <x:c r="X33" s="52"/>
      <x:c r="Y33" s="52"/>
      <x:c r="Z33" s="52"/>
    </x:row>
    <x:row r="34">
      <x:c r="A34" s="52"/>
      <x:c r="B34" s="52"/>
      <x:c r="C34" s="52"/>
      <x:c r="D34" s="52"/>
      <x:c r="E34" s="52"/>
      <x:c r="F34" s="52"/>
      <x:c r="G34" s="52"/>
      <x:c r="H34" s="52"/>
      <x:c r="I34" s="52"/>
      <x:c r="J34" s="52"/>
      <x:c r="K34" s="52"/>
      <x:c r="L34" s="52"/>
      <x:c r="M34" s="52"/>
      <x:c r="N34" s="52"/>
      <x:c r="O34" s="52"/>
      <x:c r="P34" s="52"/>
      <x:c r="Q34" s="52"/>
      <x:c r="R34" s="52"/>
      <x:c r="S34" s="52"/>
      <x:c r="T34" s="52"/>
      <x:c r="U34" s="52"/>
      <x:c r="V34" s="52"/>
      <x:c r="W34" s="52"/>
      <x:c r="X34" s="52"/>
      <x:c r="Y34" s="52"/>
      <x:c r="Z34" s="52"/>
    </x:row>
    <x:row r="35">
      <x:c r="A35" s="52"/>
      <x:c r="B35" s="52"/>
      <x:c r="C35" s="52"/>
      <x:c r="D35" s="52"/>
      <x:c r="E35" s="52"/>
      <x:c r="F35" s="52"/>
      <x:c r="G35" s="52"/>
      <x:c r="H35" s="52"/>
      <x:c r="I35" s="52"/>
      <x:c r="J35" s="52"/>
      <x:c r="K35" s="52"/>
      <x:c r="L35" s="52"/>
      <x:c r="M35" s="52"/>
      <x:c r="N35" s="52"/>
      <x:c r="O35" s="52"/>
      <x:c r="P35" s="52"/>
      <x:c r="Q35" s="52"/>
      <x:c r="R35" s="52"/>
      <x:c r="S35" s="52"/>
      <x:c r="T35" s="52"/>
      <x:c r="U35" s="52"/>
      <x:c r="V35" s="52"/>
      <x:c r="W35" s="52"/>
      <x:c r="X35" s="52"/>
      <x:c r="Y35" s="52"/>
      <x:c r="Z35" s="52"/>
    </x:row>
    <x:row r="36">
      <x:c r="A36" s="52"/>
      <x:c r="B36" s="52"/>
      <x:c r="C36" s="52"/>
      <x:c r="D36" s="52"/>
      <x:c r="E36" s="52"/>
      <x:c r="F36" s="52"/>
      <x:c r="G36" s="52"/>
      <x:c r="H36" s="52"/>
      <x:c r="I36" s="52"/>
      <x:c r="J36" s="52"/>
      <x:c r="K36" s="52"/>
      <x:c r="L36" s="52"/>
      <x:c r="M36" s="52"/>
      <x:c r="N36" s="52"/>
      <x:c r="O36" s="52"/>
      <x:c r="P36" s="52"/>
      <x:c r="Q36" s="52"/>
      <x:c r="R36" s="52"/>
      <x:c r="S36" s="52"/>
      <x:c r="T36" s="52"/>
      <x:c r="U36" s="52"/>
      <x:c r="V36" s="52"/>
      <x:c r="W36" s="52"/>
      <x:c r="X36" s="52"/>
      <x:c r="Y36" s="52"/>
      <x:c r="Z36" s="52"/>
    </x:row>
    <x:row r="37">
      <x:c r="A37" s="52"/>
      <x:c r="B37" s="52"/>
      <x:c r="C37" s="52"/>
      <x:c r="D37" s="52"/>
      <x:c r="E37" s="52"/>
      <x:c r="F37" s="52"/>
      <x:c r="G37" s="52"/>
      <x:c r="H37" s="52"/>
      <x:c r="I37" s="52"/>
      <x:c r="J37" s="52"/>
      <x:c r="K37" s="52"/>
      <x:c r="L37" s="52"/>
      <x:c r="M37" s="52"/>
      <x:c r="N37" s="52"/>
      <x:c r="O37" s="52"/>
      <x:c r="P37" s="52"/>
      <x:c r="Q37" s="52"/>
      <x:c r="R37" s="52"/>
      <x:c r="S37" s="52"/>
      <x:c r="T37" s="52"/>
      <x:c r="U37" s="52"/>
      <x:c r="V37" s="52"/>
      <x:c r="W37" s="52"/>
      <x:c r="X37" s="52"/>
      <x:c r="Y37" s="52"/>
      <x:c r="Z37" s="52"/>
    </x:row>
    <x:row r="38">
      <x:c r="A38" s="52"/>
      <x:c r="B38" s="52"/>
      <x:c r="C38" s="52"/>
      <x:c r="D38" s="52"/>
      <x:c r="E38" s="52"/>
      <x:c r="F38" s="52"/>
      <x:c r="G38" s="52"/>
      <x:c r="H38" s="52"/>
      <x:c r="I38" s="52"/>
      <x:c r="J38" s="52"/>
      <x:c r="K38" s="52"/>
      <x:c r="L38" s="52"/>
      <x:c r="M38" s="52"/>
      <x:c r="N38" s="52"/>
      <x:c r="O38" s="52"/>
      <x:c r="P38" s="52"/>
      <x:c r="Q38" s="52"/>
      <x:c r="R38" s="52"/>
      <x:c r="S38" s="52"/>
      <x:c r="T38" s="52"/>
      <x:c r="U38" s="52"/>
      <x:c r="V38" s="52"/>
      <x:c r="W38" s="52"/>
      <x:c r="X38" s="52"/>
      <x:c r="Y38" s="52"/>
      <x:c r="Z38" s="52"/>
    </x:row>
    <x:row r="39">
      <x:c r="A39" s="52"/>
      <x:c r="B39" s="52"/>
      <x:c r="C39" s="52"/>
      <x:c r="D39" s="52"/>
      <x:c r="E39" s="52"/>
      <x:c r="F39" s="52"/>
      <x:c r="G39" s="52"/>
      <x:c r="H39" s="52"/>
      <x:c r="I39" s="52"/>
      <x:c r="J39" s="52"/>
      <x:c r="K39" s="52"/>
      <x:c r="L39" s="52"/>
      <x:c r="M39" s="52"/>
      <x:c r="N39" s="52"/>
      <x:c r="O39" s="52"/>
      <x:c r="P39" s="52"/>
      <x:c r="Q39" s="52"/>
      <x:c r="R39" s="52"/>
      <x:c r="S39" s="52"/>
      <x:c r="T39" s="52"/>
      <x:c r="U39" s="52"/>
      <x:c r="V39" s="52"/>
      <x:c r="W39" s="52"/>
      <x:c r="X39" s="52"/>
      <x:c r="Y39" s="52"/>
      <x:c r="Z39" s="52"/>
    </x:row>
    <x:row r="40">
      <x:c r="A40" s="52"/>
      <x:c r="B40" s="52"/>
      <x:c r="C40" s="52"/>
      <x:c r="D40" s="52"/>
      <x:c r="E40" s="52"/>
      <x:c r="F40" s="52"/>
      <x:c r="G40" s="52"/>
      <x:c r="H40" s="52"/>
      <x:c r="I40" s="52"/>
      <x:c r="J40" s="52"/>
      <x:c r="K40" s="52"/>
      <x:c r="L40" s="52"/>
      <x:c r="M40" s="52"/>
      <x:c r="N40" s="52"/>
      <x:c r="O40" s="52"/>
      <x:c r="P40" s="52"/>
      <x:c r="Q40" s="52"/>
      <x:c r="R40" s="52"/>
      <x:c r="S40" s="52"/>
      <x:c r="T40" s="52"/>
      <x:c r="U40" s="52"/>
      <x:c r="V40" s="52"/>
      <x:c r="W40" s="52"/>
      <x:c r="X40" s="52"/>
      <x:c r="Y40" s="52"/>
      <x:c r="Z40" s="52"/>
    </x:row>
    <x:row r="41">
      <x:c r="A41" s="52"/>
      <x:c r="B41" s="52"/>
      <x:c r="C41" s="52"/>
      <x:c r="D41" s="52"/>
      <x:c r="E41" s="52"/>
      <x:c r="F41" s="52"/>
      <x:c r="G41" s="52"/>
      <x:c r="H41" s="52"/>
      <x:c r="I41" s="52"/>
      <x:c r="J41" s="52"/>
      <x:c r="K41" s="52"/>
      <x:c r="L41" s="52"/>
      <x:c r="M41" s="52"/>
      <x:c r="N41" s="52"/>
      <x:c r="O41" s="52"/>
      <x:c r="P41" s="52"/>
      <x:c r="Q41" s="52"/>
      <x:c r="R41" s="52"/>
      <x:c r="S41" s="52"/>
      <x:c r="T41" s="52"/>
      <x:c r="U41" s="52"/>
      <x:c r="V41" s="52"/>
      <x:c r="W41" s="52"/>
      <x:c r="X41" s="52"/>
      <x:c r="Y41" s="52"/>
      <x:c r="Z41" s="52"/>
    </x:row>
    <x:row r="42">
      <x:c r="A42" s="52"/>
      <x:c r="B42" s="52"/>
      <x:c r="C42" s="52"/>
      <x:c r="D42" s="52"/>
      <x:c r="E42" s="52"/>
      <x:c r="F42" s="52"/>
      <x:c r="G42" s="52"/>
      <x:c r="H42" s="52"/>
      <x:c r="I42" s="52"/>
      <x:c r="J42" s="52"/>
      <x:c r="K42" s="52"/>
      <x:c r="L42" s="52"/>
      <x:c r="M42" s="52"/>
      <x:c r="N42" s="52"/>
      <x:c r="O42" s="52"/>
      <x:c r="P42" s="52"/>
      <x:c r="Q42" s="52"/>
      <x:c r="R42" s="52"/>
      <x:c r="S42" s="52"/>
      <x:c r="T42" s="52"/>
      <x:c r="U42" s="52"/>
      <x:c r="V42" s="52"/>
      <x:c r="W42" s="52"/>
      <x:c r="X42" s="52"/>
      <x:c r="Y42" s="52"/>
      <x:c r="Z42" s="52"/>
    </x:row>
    <x:row r="43">
      <x:c r="A43" s="52"/>
      <x:c r="B43" s="52"/>
      <x:c r="C43" s="52"/>
      <x:c r="D43" s="52"/>
      <x:c r="E43" s="52"/>
      <x:c r="F43" s="52"/>
      <x:c r="G43" s="52"/>
      <x:c r="H43" s="52"/>
      <x:c r="I43" s="52"/>
      <x:c r="J43" s="52"/>
      <x:c r="K43" s="52"/>
      <x:c r="L43" s="52"/>
      <x:c r="M43" s="52"/>
      <x:c r="N43" s="52"/>
      <x:c r="O43" s="52"/>
      <x:c r="P43" s="52"/>
      <x:c r="Q43" s="52"/>
      <x:c r="R43" s="52"/>
      <x:c r="S43" s="52"/>
      <x:c r="T43" s="52"/>
      <x:c r="U43" s="52"/>
      <x:c r="V43" s="52"/>
      <x:c r="W43" s="52"/>
      <x:c r="X43" s="52"/>
      <x:c r="Y43" s="52"/>
      <x:c r="Z43" s="52"/>
    </x:row>
    <x:row r="44">
      <x:c r="A44" s="52"/>
      <x:c r="B44" s="52"/>
      <x:c r="C44" s="52"/>
      <x:c r="D44" s="52"/>
      <x:c r="E44" s="52"/>
      <x:c r="F44" s="52"/>
      <x:c r="G44" s="52"/>
      <x:c r="H44" s="52"/>
      <x:c r="I44" s="52"/>
      <x:c r="J44" s="52"/>
      <x:c r="K44" s="52"/>
      <x:c r="L44" s="52"/>
      <x:c r="M44" s="52"/>
      <x:c r="N44" s="52"/>
      <x:c r="O44" s="52"/>
      <x:c r="P44" s="52"/>
      <x:c r="Q44" s="52"/>
      <x:c r="R44" s="52"/>
      <x:c r="S44" s="52"/>
      <x:c r="T44" s="52"/>
      <x:c r="U44" s="52"/>
      <x:c r="V44" s="52"/>
      <x:c r="W44" s="52"/>
      <x:c r="X44" s="52"/>
      <x:c r="Y44" s="52"/>
      <x:c r="Z44" s="52"/>
    </x:row>
    <x:row r="45">
      <x:c r="A45" s="52"/>
      <x:c r="B45" s="52"/>
      <x:c r="C45" s="52"/>
      <x:c r="D45" s="52"/>
      <x:c r="E45" s="52"/>
      <x:c r="F45" s="52"/>
      <x:c r="G45" s="52"/>
      <x:c r="H45" s="52"/>
      <x:c r="I45" s="52"/>
      <x:c r="J45" s="52"/>
      <x:c r="K45" s="52"/>
      <x:c r="L45" s="52"/>
      <x:c r="M45" s="52"/>
      <x:c r="N45" s="52"/>
      <x:c r="O45" s="52"/>
      <x:c r="P45" s="52"/>
      <x:c r="Q45" s="52"/>
      <x:c r="R45" s="52"/>
      <x:c r="S45" s="52"/>
      <x:c r="T45" s="52"/>
      <x:c r="U45" s="52"/>
      <x:c r="V45" s="52"/>
      <x:c r="W45" s="52"/>
      <x:c r="X45" s="52"/>
      <x:c r="Y45" s="52"/>
      <x:c r="Z45" s="52"/>
    </x:row>
    <x:row r="46">
      <x:c r="A46" s="52"/>
      <x:c r="B46" s="52"/>
      <x:c r="C46" s="52"/>
      <x:c r="D46" s="52"/>
      <x:c r="E46" s="52"/>
      <x:c r="F46" s="52"/>
      <x:c r="G46" s="52"/>
      <x:c r="H46" s="52"/>
      <x:c r="I46" s="52"/>
      <x:c r="J46" s="52"/>
      <x:c r="K46" s="52"/>
      <x:c r="L46" s="52"/>
      <x:c r="M46" s="52"/>
      <x:c r="N46" s="52"/>
      <x:c r="O46" s="52"/>
      <x:c r="P46" s="52"/>
      <x:c r="Q46" s="52"/>
      <x:c r="R46" s="52"/>
      <x:c r="S46" s="52"/>
      <x:c r="T46" s="52"/>
      <x:c r="U46" s="52"/>
      <x:c r="V46" s="52"/>
      <x:c r="W46" s="52"/>
      <x:c r="X46" s="52"/>
      <x:c r="Y46" s="52"/>
      <x:c r="Z46" s="52"/>
    </x:row>
    <x:row r="47">
      <x:c r="A47" s="52"/>
      <x:c r="B47" s="52"/>
      <x:c r="C47" s="52"/>
      <x:c r="D47" s="52"/>
      <x:c r="E47" s="52"/>
      <x:c r="F47" s="52"/>
      <x:c r="G47" s="52"/>
      <x:c r="H47" s="52"/>
      <x:c r="I47" s="52"/>
      <x:c r="J47" s="52"/>
      <x:c r="K47" s="52"/>
      <x:c r="L47" s="52"/>
      <x:c r="M47" s="52"/>
      <x:c r="N47" s="52"/>
      <x:c r="O47" s="52"/>
      <x:c r="P47" s="52"/>
      <x:c r="Q47" s="52"/>
      <x:c r="R47" s="52"/>
      <x:c r="S47" s="52"/>
      <x:c r="T47" s="52"/>
      <x:c r="U47" s="52"/>
      <x:c r="V47" s="52"/>
      <x:c r="W47" s="52"/>
      <x:c r="X47" s="52"/>
      <x:c r="Y47" s="52"/>
      <x:c r="Z47" s="52"/>
    </x:row>
    <x:row r="48">
      <x:c r="A48" s="52"/>
      <x:c r="B48" s="52"/>
      <x:c r="C48" s="52"/>
      <x:c r="D48" s="52"/>
      <x:c r="E48" s="52"/>
      <x:c r="F48" s="52"/>
      <x:c r="G48" s="52"/>
      <x:c r="H48" s="52"/>
      <x:c r="I48" s="52"/>
      <x:c r="J48" s="52"/>
      <x:c r="K48" s="52"/>
      <x:c r="L48" s="52"/>
      <x:c r="M48" s="52"/>
      <x:c r="N48" s="52"/>
      <x:c r="O48" s="52"/>
      <x:c r="P48" s="52"/>
      <x:c r="Q48" s="52"/>
      <x:c r="R48" s="52"/>
      <x:c r="S48" s="52"/>
      <x:c r="T48" s="52"/>
      <x:c r="U48" s="52"/>
      <x:c r="V48" s="52"/>
      <x:c r="W48" s="52"/>
      <x:c r="X48" s="52"/>
      <x:c r="Y48" s="52"/>
      <x:c r="Z48" s="52"/>
    </x:row>
    <x:row r="49">
      <x:c r="A49" s="52"/>
      <x:c r="B49" s="52"/>
      <x:c r="C49" s="52"/>
      <x:c r="D49" s="52"/>
      <x:c r="E49" s="52"/>
      <x:c r="F49" s="52"/>
      <x:c r="G49" s="52"/>
      <x:c r="H49" s="52"/>
      <x:c r="I49" s="52"/>
      <x:c r="J49" s="52"/>
      <x:c r="K49" s="52"/>
      <x:c r="L49" s="52"/>
      <x:c r="M49" s="52"/>
      <x:c r="N49" s="52"/>
      <x:c r="O49" s="52"/>
      <x:c r="P49" s="52"/>
      <x:c r="Q49" s="52"/>
      <x:c r="R49" s="52"/>
      <x:c r="S49" s="52"/>
      <x:c r="T49" s="52"/>
      <x:c r="U49" s="52"/>
      <x:c r="V49" s="52"/>
      <x:c r="W49" s="52"/>
      <x:c r="X49" s="52"/>
      <x:c r="Y49" s="52"/>
      <x:c r="Z49" s="52"/>
    </x:row>
    <x:row r="50">
      <x:c r="A50" s="52"/>
      <x:c r="B50" s="52"/>
      <x:c r="C50" s="52"/>
      <x:c r="D50" s="52"/>
      <x:c r="E50" s="52"/>
      <x:c r="F50" s="52"/>
      <x:c r="G50" s="52"/>
      <x:c r="H50" s="52"/>
      <x:c r="I50" s="52"/>
      <x:c r="J50" s="52"/>
      <x:c r="K50" s="52"/>
      <x:c r="L50" s="52"/>
      <x:c r="M50" s="52"/>
      <x:c r="N50" s="52"/>
      <x:c r="O50" s="52"/>
      <x:c r="P50" s="52"/>
      <x:c r="Q50" s="52"/>
      <x:c r="R50" s="52"/>
      <x:c r="S50" s="52"/>
      <x:c r="T50" s="52"/>
      <x:c r="U50" s="52"/>
      <x:c r="V50" s="52"/>
      <x:c r="W50" s="52"/>
      <x:c r="X50" s="52"/>
      <x:c r="Y50" s="52"/>
      <x:c r="Z50" s="52"/>
    </x:row>
  </x:sheetData>
  <x:mergeCells>
    <x:mergeCell ref="A7:D7"/>
    <x:mergeCell ref="A1:E1"/>
    <x:mergeCell ref="A2:E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5" hidden="0" customWidth="1"/>
  </x:cols>
  <x:sheetData>
    <x:row r="1" ht="25" customHeight="1">
      <x:c r="A1" s="174" t="str">
        <x:v>Asda Group Limited</x:v>
      </x:c>
      <x:c r="B1" s="174"/>
      <x:c r="C1" s="174"/>
      <x:c r="D1" s="174"/>
    </x:row>
    <x:row r="2" ht="21" customHeight="1">
      <x:c r="A2" s="177" t="str">
        <x:v>Vertical Analysis (Common-Size) | FY2023-FY2025</x:v>
      </x:c>
      <x:c r="B2" s="177"/>
      <x:c r="C2" s="177"/>
      <x:c r="D2" s="177"/>
    </x:row>
    <x:row r="3" ht="19" customHeight="1">
      <x:c r="A3" s="181" t="str">
        <x:v>Income Statement (% of Revenue)</x:v>
      </x:c>
      <x:c r="B3" s="180" t="str">
        <x:v>FY2023</x:v>
      </x:c>
      <x:c r="C3" s="180" t="str">
        <x:v>FY2024</x:v>
      </x:c>
      <x:c r="D3" s="180" t="str">
        <x:v>FY2025</x:v>
      </x:c>
    </x:row>
    <x:row r="4">
      <x:c r="A4" s="190" t="str">
        <x:v>Revenue</x:v>
      </x:c>
      <x:c r="B4" s="231" t="n">
        <x:f>'Income Statement'!B4/'Income Statement'!B$4</x:f>
        <x:v>1</x:v>
      </x:c>
      <x:c r="C4" s="231" t="n">
        <x:f>'Income Statement'!C4/'Income Statement'!C$4</x:f>
        <x:v>1</x:v>
      </x:c>
      <x:c r="D4" s="231" t="n">
        <x:f>'Income Statement'!D4/'Income Statement'!D$4</x:f>
        <x:v>1</x:v>
      </x:c>
    </x:row>
    <x:row r="5">
      <x:c r="A5" s="162" t="str">
        <x:v>Cost of goods sold</x:v>
      </x:c>
      <x:c r="B5" s="200" t="n">
        <x:f>'Income Statement'!B5/'Income Statement'!B$4</x:f>
        <x:v>-0.7575272573964843</x:v>
      </x:c>
      <x:c r="C5" s="200" t="n">
        <x:f>'Income Statement'!C5/'Income Statement'!C$4</x:f>
        <x:v>-0.7570940081798069</x:v>
      </x:c>
      <x:c r="D5" s="200" t="n">
        <x:f>'Income Statement'!D5/'Income Statement'!D$4</x:f>
        <x:v>-0.762682587526084</x:v>
      </x:c>
    </x:row>
    <x:row r="6">
      <x:c r="A6" s="190" t="str">
        <x:v>Gross profit</x:v>
      </x:c>
      <x:c r="B6" s="231" t="n">
        <x:f>'Income Statement'!B6/'Income Statement'!B$4</x:f>
        <x:v>0.2424727426035157</x:v>
      </x:c>
      <x:c r="C6" s="231" t="n">
        <x:f>'Income Statement'!C6/'Income Statement'!C$4</x:f>
        <x:v>0.24290599182019315</x:v>
      </x:c>
      <x:c r="D6" s="231" t="n">
        <x:f>'Income Statement'!D6/'Income Statement'!D$4</x:f>
        <x:v>0.23731741247391605</x:v>
      </x:c>
    </x:row>
    <x:row r="7">
      <x:c r="A7" s="162" t="str">
        <x:v>Other income</x:v>
      </x:c>
      <x:c r="B7" s="200" t="n">
        <x:f>'Income Statement'!B7/'Income Statement'!B$4</x:f>
        <x:v>0.0027677041328185692</x:v>
      </x:c>
      <x:c r="C7" s="200" t="n">
        <x:f>'Income Statement'!C7/'Income Statement'!C$4</x:f>
        <x:v>0.002983618037293363</x:v>
      </x:c>
      <x:c r="D7" s="200" t="n">
        <x:f>'Income Statement'!D7/'Income Statement'!D$4</x:f>
        <x:v>0.003748357678336811</x:v>
      </x:c>
    </x:row>
    <x:row r="8">
      <x:c r="A8" s="182" t="str">
        <x:v>Operating costs</x:v>
      </x:c>
      <x:c r="B8" s="199" t="n">
        <x:f>'Income Statement'!B8/'Income Statement'!B$4</x:f>
        <x:v>-0.9805714196487475</x:v>
      </x:c>
      <x:c r="C8" s="199" t="n">
        <x:f>'Income Statement'!C8/'Income Statement'!C$4</x:f>
        <x:v>-1.0046076598153957</x:v>
      </x:c>
      <x:c r="D8" s="199" t="n">
        <x:f>'Income Statement'!D8/'Income Statement'!D$4</x:f>
        <x:v>-1.0173274596182085</x:v>
      </x:c>
    </x:row>
    <x:row r="9">
      <x:c r="A9" s="190" t="str">
        <x:v>Operating profit/(loss)</x:v>
      </x:c>
      <x:c r="B9" s="231" t="n">
        <x:f>'Income Statement'!B9/'Income Statement'!B$4</x:f>
        <x:v>0.02219628448407106</x:v>
      </x:c>
      <x:c r="C9" s="231" t="n">
        <x:f>'Income Statement'!C9/'Income Statement'!C$4</x:f>
        <x:v>-0.0016240417781022553</x:v>
      </x:c>
      <x:c r="D9" s="231" t="n">
        <x:f>'Income Statement'!D9/'Income Statement'!D$4</x:f>
        <x:v>-0.013579101939871704</x:v>
      </x:c>
    </x:row>
    <x:row r="10">
      <x:c r="A10" s="190" t="str">
        <x:v>Profit/(loss) for year</x:v>
      </x:c>
      <x:c r="B10" s="231" t="n">
        <x:f>'Income Statement'!B11/'Income Statement'!B$4</x:f>
        <x:v>0.00759264391866307</x:v>
      </x:c>
      <x:c r="C10" s="231" t="n">
        <x:f>'Income Statement'!C11/'Income Statement'!C$4</x:f>
        <x:v>-0.01814754941035364</x:v>
      </x:c>
      <x:c r="D10" s="231" t="n">
        <x:f>'Income Statement'!D11/'Income Statement'!D$4</x:f>
        <x:v>-0.02767601823943118</x:v>
      </x:c>
    </x:row>
    <x:row r="11">
      <x:c r="A11" s="162"/>
      <x:c r="B11" s="162"/>
      <x:c r="C11" s="162"/>
      <x:c r="D11" s="162"/>
    </x:row>
    <x:row r="12">
      <x:c r="A12" s="162"/>
      <x:c r="B12" s="162"/>
      <x:c r="C12" s="162"/>
      <x:c r="D12" s="162"/>
    </x:row>
    <x:row r="13" ht="19" customHeight="1">
      <x:c r="A13" s="181" t="str">
        <x:v>Balance Sheet (% of Total Assets)</x:v>
      </x:c>
      <x:c r="B13" s="180" t="str">
        <x:v>FY2023</x:v>
      </x:c>
      <x:c r="C13" s="180" t="str">
        <x:v>FY2024</x:v>
      </x:c>
      <x:c r="D13" s="180" t="str">
        <x:v>FY2025</x:v>
      </x:c>
    </x:row>
    <x:row r="14">
      <x:c r="A14" s="182" t="str">
        <x:v>Non-current assets</x:v>
      </x:c>
      <x:c r="B14" s="199" t="n">
        <x:f>'Balance Sheet'!B4/'Balance Sheet'!B$11</x:f>
        <x:v>0.8569436307928393</x:v>
      </x:c>
      <x:c r="C14" s="199" t="n">
        <x:f>'Balance Sheet'!C4/'Balance Sheet'!C$11</x:f>
        <x:v>0.8632736262306459</x:v>
      </x:c>
      <x:c r="D14" s="199" t="n">
        <x:f>'Balance Sheet'!D4/'Balance Sheet'!D$11</x:f>
        <x:v>0.8302229445256428</x:v>
      </x:c>
    </x:row>
    <x:row r="15">
      <x:c r="A15" s="162" t="str">
        <x:v>Current assets incl. held for sale</x:v>
      </x:c>
      <x:c r="B15" s="200" t="n">
        <x:f>'Balance Sheet'!B7/'Balance Sheet'!B$11</x:f>
        <x:v>0.14305636920716058</x:v>
      </x:c>
      <x:c r="C15" s="200" t="n">
        <x:f>'Balance Sheet'!C7/'Balance Sheet'!C$11</x:f>
        <x:v>0.13672637376935423</x:v>
      </x:c>
      <x:c r="D15" s="200" t="n">
        <x:f>'Balance Sheet'!D7/'Balance Sheet'!D$11</x:f>
        <x:v>0.169777055474357</x:v>
      </x:c>
    </x:row>
    <x:row r="16">
      <x:c r="A16" s="182" t="str">
        <x:v>Inventories</x:v>
      </x:c>
      <x:c r="B16" s="199" t="n">
        <x:f>'Balance Sheet'!B8/'Balance Sheet'!B$11</x:f>
        <x:v>0.06917449932344508</x:v>
      </x:c>
      <x:c r="C16" s="199" t="n">
        <x:f>'Balance Sheet'!C8/'Balance Sheet'!C$11</x:f>
        <x:v>0.071881641150193</x:v>
      </x:c>
      <x:c r="D16" s="199" t="n">
        <x:f>'Balance Sheet'!D8/'Balance Sheet'!D$11</x:f>
        <x:v>0.07545646909971422</x:v>
      </x:c>
    </x:row>
    <x:row r="17">
      <x:c r="A17" s="162" t="str">
        <x:v>Cash and cash equivalents</x:v>
      </x:c>
      <x:c r="B17" s="200" t="n">
        <x:f>'Balance Sheet'!B10/'Balance Sheet'!B$11</x:f>
        <x:v>0.05327934718931614</x:v>
      </x:c>
      <x:c r="C17" s="200" t="n">
        <x:f>'Balance Sheet'!C10/'Balance Sheet'!C$11</x:f>
        <x:v>0.044644793338248695</x:v>
      </x:c>
      <x:c r="D17" s="200" t="n">
        <x:f>'Balance Sheet'!D10/'Balance Sheet'!D$11</x:f>
        <x:v>0.07302414868785584</x:v>
      </x:c>
    </x:row>
    <x:row r="18">
      <x:c r="A18" s="190" t="str">
        <x:v>Total equity</x:v>
      </x:c>
      <x:c r="B18" s="231" t="n">
        <x:f>'Balance Sheet'!B13/'Balance Sheet'!B$11</x:f>
        <x:v>0.2034745371690454</x:v>
      </x:c>
      <x:c r="C18" s="231" t="n">
        <x:f>'Balance Sheet'!C13/'Balance Sheet'!C$11</x:f>
        <x:v>0.1878550982348094</x:v>
      </x:c>
      <x:c r="D18" s="231" t="n">
        <x:f>'Balance Sheet'!D13/'Balance Sheet'!D$11</x:f>
        <x:v>0.1479243472001047</x:v>
      </x:c>
    </x:row>
    <x:row r="19">
      <x:c r="A19" s="162" t="str">
        <x:v>Current liabilities incl. held-for-sale</x:v>
      </x:c>
      <x:c r="B19" s="200" t="n">
        <x:f>'Balance Sheet'!B21/'Balance Sheet'!B$11</x:f>
        <x:v>0.25060008605985823</x:v>
      </x:c>
      <x:c r="C19" s="200" t="n">
        <x:f>'Balance Sheet'!C21/'Balance Sheet'!C$11</x:f>
        <x:v>0.25736761070390773</x:v>
      </x:c>
      <x:c r="D19" s="200" t="n">
        <x:f>'Balance Sheet'!D21/'Balance Sheet'!D$11</x:f>
        <x:v>0.2897733470037739</x:v>
      </x:c>
    </x:row>
    <x:row r="20">
      <x:c r="A20" s="190" t="str">
        <x:v>Total liabilities</x:v>
      </x:c>
      <x:c r="B20" s="231" t="n">
        <x:f>'Balance Sheet'!B22/'Balance Sheet'!B$11</x:f>
        <x:v>0.7965254628309546</x:v>
      </x:c>
      <x:c r="C20" s="231" t="n">
        <x:f>'Balance Sheet'!C22/'Balance Sheet'!C$11</x:f>
        <x:v>0.8121449017651907</x:v>
      </x:c>
      <x:c r="D20" s="231" t="n">
        <x:f>'Balance Sheet'!D22/'Balance Sheet'!D$11</x:f>
        <x:v>0.8520756527998953</x:v>
      </x:c>
    </x:row>
    <x:row r="21">
      <x:c r="A21" s="162" t="str">
        <x:v>Published net debt</x:v>
      </x:c>
      <x:c r="B21" s="200" t="n">
        <x:f>'Raw Data'!B35/'Balance Sheet'!B$11</x:f>
        <x:v>0.19861163674444887</x:v>
      </x:c>
      <x:c r="C21" s="200" t="n">
        <x:f>'Raw Data'!C35/'Balance Sheet'!C$11</x:f>
        <x:v>0.20769180726026804</x:v>
      </x:c>
      <x:c r="D21" s="200" t="n">
        <x:f>'Raw Data'!D35/'Balance Sheet'!D$11</x:f>
        <x:v>0.16960799284483322</x:v>
      </x:c>
    </x:row>
  </x:sheetData>
  <x:mergeCells>
    <x:mergeCell ref="A1:D1"/>
    <x:mergeCell ref="A2:D2"/>
  </x:mergeCells>
  <x:pageMargins left="0.7" right="0.7" top="0.75" bottom="0.75" header="0.3" footer="0.3"/>
</x:worksheet>
</file>