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608f69b5b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&amp;L 2023-25" sheetId="1" r:id="R8eb8b87c48f34d56"/>
    <x:sheet xmlns:r="http://schemas.openxmlformats.org/officeDocument/2006/relationships" name="Balance Sheet 2023-25" sheetId="2" r:id="R4bc772e5045141f6"/>
    <x:sheet xmlns:r="http://schemas.openxmlformats.org/officeDocument/2006/relationships" name="CF 2023-25" sheetId="3" r:id="R8ed153b53c9e46b6"/>
    <x:sheet xmlns:r="http://schemas.openxmlformats.org/officeDocument/2006/relationships" name="Ratio Analysis" sheetId="4" r:id="Rc0d5ad703b634ac6"/>
    <x:sheet xmlns:r="http://schemas.openxmlformats.org/officeDocument/2006/relationships" name="Vertical Analysis" sheetId="5" r:id="R9433287dce8d47a5"/>
    <x:sheet xmlns:r="http://schemas.openxmlformats.org/officeDocument/2006/relationships" name="Summary" sheetId="6" r:id="R9a806b2a5eb54e77"/>
    <x:sheet xmlns:r="http://schemas.openxmlformats.org/officeDocument/2006/relationships" name="Sources" sheetId="7" r:id="R85c05af20f2f44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(#,##0.0);-"/>
    <x:numFmt numFmtId="201" formatCode="0.0%;[Red](0.0%);-"/>
    <x:numFmt numFmtId="202" formatCode="0.00x;[Red](0.00x);-"/>
    <x:numFmt numFmtId="203" formatCode="#,##0.0;(#,##0.0);-"/>
    <x:numFmt numFmtId="204" formatCode="0.0%;(0.0%);-"/>
    <x:numFmt numFmtId="205" formatCode="0.00x;(0.00x);-"/>
  </x:numFmts>
  <x:fonts count="21">
    <x:font>
      <x:sz val="11"/>
      <x:name val="Carlito"/>
    </x:font>
    <x:font>
      <x:b/>
      <x:sz val="20"/>
      <x:color rgb="FFFFFFFF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Arial"/>
    </x:font>
    <x:font>
      <x:sz val="11"/>
      <x:name val="Arial"/>
    </x:font>
    <x:font>
      <x:b/>
      <x:sz val="13"/>
      <x:color rgb="FFFFFFFF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0"/>
      <x:color rgb="FFFFFFFF"/>
      <x:name val="Arial"/>
    </x:font>
    <x:font>
      <x:sz val="10"/>
      <x:name val="Arial"/>
    </x:font>
    <x:font>
      <x:sz val="10"/>
      <x:color rgb="FF000000"/>
      <x:name val="Arial"/>
    </x:font>
    <x:font>
      <x:sz val="10"/>
      <x:color rgb="FFFFFFFF"/>
      <x:name val="Arial"/>
    </x:font>
    <x:font>
      <x:sz val="1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2B66"/>
      </x:patternFill>
    </x:fill>
    <x:fill>
      <x:patternFill patternType="solid">
        <x:fgColor rgb="FFD9D9D9"/>
      </x:patternFill>
    </x:fill>
  </x:fills>
  <x:borders count="4">
    <x:border/>
    <x:border/>
    <x:border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2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horizontal="right"/>
    </x:xf>
    <x:xf numFmtId="0" fontId="3" fillId="0" borderId="1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horizontal="right"/>
    </x:xf>
    <x:xf numFmtId="0" fontId="3" fillId="0" borderId="2" xfId="0" applyNumberFormat="1" applyFont="1" applyFill="1" applyBorder="1" applyAlignment="1">
      <x:alignment horizontal="left"/>
    </x:xf>
    <x:xf numFmtId="0" fontId="3" fillId="0" borderId="3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1" xfId="0" applyNumberFormat="1" applyFont="1" applyFill="1" applyBorder="1"/>
    <x:xf numFmtId="200" fontId="0" fillId="0" borderId="1" xfId="0" applyNumberFormat="1" applyFont="1" applyFill="1" applyBorder="1"/>
    <x:xf numFmtId="200" fontId="0" fillId="3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/>
    </x:xf>
    <x:xf numFmtId="200" fontId="3" fillId="3" borderId="0" xfId="0" applyNumberFormat="1" applyFont="1" applyFill="1" applyBorder="1" applyAlignment="1">
      <x:alignment horizontal="right"/>
    </x:xf>
    <x:xf numFmtId="0" fontId="3" fillId="3" borderId="1" xfId="0" applyNumberFormat="1" applyFont="1" applyFill="1" applyBorder="1" applyAlignment="1">
      <x:alignment horizontal="left"/>
    </x:xf>
    <x:xf numFmtId="200" fontId="3" fillId="3" borderId="1" xfId="0" applyNumberFormat="1" applyFont="1" applyFill="1" applyBorder="1" applyAlignment="1">
      <x:alignment horizontal="right"/>
    </x:xf>
    <x:xf numFmtId="0" fontId="3" fillId="3" borderId="2" xfId="0" applyNumberFormat="1" applyFont="1" applyFill="1" applyBorder="1" applyAlignment="1">
      <x:alignment horizontal="left"/>
    </x:xf>
    <x:xf numFmtId="200" fontId="3" fillId="3" borderId="2" xfId="0" applyNumberFormat="1" applyFont="1" applyFill="1" applyBorder="1" applyAlignment="1">
      <x:alignment horizontal="right"/>
    </x:xf>
    <x:xf numFmtId="0" fontId="3" fillId="3" borderId="3" xfId="0" applyNumberFormat="1" applyFont="1" applyFill="1" applyBorder="1" applyAlignment="1">
      <x:alignment horizontal="left"/>
    </x:xf>
    <x:xf numFmtId="200" fontId="3" fillId="3" borderId="3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left"/>
    </x:xf>
    <x:xf numFmtId="200" fontId="3" fillId="0" borderId="0" xfId="0" applyNumberFormat="1" applyFont="1" applyFill="1" applyBorder="1" applyAlignment="1">
      <x:alignment horizontal="right"/>
    </x:xf>
    <x:xf numFmtId="0" fontId="3" fillId="0" borderId="1" xfId="0" applyNumberFormat="1" applyFont="1" applyFill="1" applyBorder="1" applyAlignment="1">
      <x:alignment horizontal="left"/>
    </x:xf>
    <x:xf numFmtId="200" fontId="3" fillId="0" borderId="1" xfId="0" applyNumberFormat="1" applyFont="1" applyFill="1" applyBorder="1" applyAlignment="1">
      <x:alignment horizontal="right"/>
    </x:xf>
    <x:xf numFmtId="200" fontId="3" fillId="0" borderId="2" xfId="0" applyNumberFormat="1" applyFont="1" applyFill="1" applyBorder="1" applyAlignment="1">
      <x:alignment horizontal="right"/>
    </x:xf>
    <x:xf numFmtId="200" fontId="3" fillId="0" borderId="3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right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 applyAlignment="1">
      <x:alignment horizontal="left"/>
    </x:xf>
    <x:xf numFmtId="0" fontId="8" fillId="0" borderId="2" xfId="0" applyNumberFormat="1" applyFont="1" applyFill="1" applyBorder="1" applyAlignment="1">
      <x:alignment horizontal="right"/>
    </x:xf>
    <x:xf numFmtId="0" fontId="6" fillId="3" borderId="0" xfId="0" applyNumberFormat="1" applyFont="1" applyFill="1" applyBorder="1" applyAlignment="1">
      <x:alignment horizontal="left"/>
    </x:xf>
    <x:xf numFmtId="200" fontId="6" fillId="3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left"/>
    </x:xf>
    <x:xf numFmtId="200" fontId="6" fillId="0" borderId="0" xfId="0" applyNumberFormat="1" applyFont="1" applyFill="1" applyBorder="1" applyAlignment="1">
      <x:alignment horizontal="right"/>
    </x:xf>
    <x:xf numFmtId="0" fontId="8" fillId="3" borderId="2" xfId="0" applyNumberFormat="1" applyFont="1" applyFill="1" applyBorder="1" applyAlignment="1">
      <x:alignment horizontal="left"/>
    </x:xf>
    <x:xf numFmtId="200" fontId="8" fillId="3" borderId="2" xfId="0" applyNumberFormat="1" applyFont="1" applyFill="1" applyBorder="1" applyAlignment="1">
      <x:alignment horizontal="right"/>
    </x:xf>
    <x:xf numFmtId="200" fontId="8" fillId="0" borderId="2" xfId="0" applyNumberFormat="1" applyFont="1" applyFill="1" applyBorder="1" applyAlignment="1">
      <x:alignment horizontal="right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horizontal="left"/>
    </x:xf>
    <x:xf numFmtId="0" fontId="8" fillId="0" borderId="3" xfId="0" applyNumberFormat="1" applyFont="1" applyFill="1" applyBorder="1" applyAlignment="1">
      <x:alignment horizontal="right"/>
    </x:xf>
    <x:xf numFmtId="0" fontId="6" fillId="3" borderId="1" xfId="0" applyNumberFormat="1" applyFont="1" applyFill="1" applyBorder="1" applyAlignment="1">
      <x:alignment horizontal="left"/>
    </x:xf>
    <x:xf numFmtId="200" fontId="6" fillId="3" borderId="1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 applyAlignment="1">
      <x:alignment horizontal="left"/>
    </x:xf>
    <x:xf numFmtId="200" fontId="6" fillId="0" borderId="1" xfId="0" applyNumberFormat="1" applyFont="1" applyFill="1" applyBorder="1" applyAlignment="1">
      <x:alignment horizontal="right"/>
    </x:xf>
    <x:xf numFmtId="0" fontId="8" fillId="3" borderId="3" xfId="0" applyNumberFormat="1" applyFont="1" applyFill="1" applyBorder="1" applyAlignment="1">
      <x:alignment horizontal="left"/>
    </x:xf>
    <x:xf numFmtId="200" fontId="8" fillId="3" borderId="3" xfId="0" applyNumberFormat="1" applyFont="1" applyFill="1" applyBorder="1" applyAlignment="1">
      <x:alignment horizontal="right"/>
    </x:xf>
    <x:xf numFmtId="200" fontId="8" fillId="0" borderId="3" xfId="0" applyNumberFormat="1" applyFont="1" applyFill="1" applyBorder="1" applyAlignment="1">
      <x:alignment horizontal="right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1" fillId="0" borderId="2" xfId="0" applyNumberFormat="1" applyFont="1" applyFill="1" applyBorder="1" applyAlignment="1">
      <x:alignment horizontal="left"/>
    </x:xf>
    <x:xf numFmtId="0" fontId="11" fillId="0" borderId="2" xfId="0" applyNumberFormat="1" applyFont="1" applyFill="1" applyBorder="1" applyAlignment="1">
      <x:alignment horizontal="right"/>
    </x:xf>
    <x:xf numFmtId="0" fontId="10" fillId="3" borderId="0" xfId="0" applyNumberFormat="1" applyFont="1" applyFill="1" applyBorder="1" applyAlignment="1">
      <x:alignment horizontal="left"/>
    </x:xf>
    <x:xf numFmtId="200" fontId="10" fillId="3" borderId="0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 applyAlignment="1">
      <x:alignment horizontal="left"/>
    </x:xf>
    <x:xf numFmtId="200" fontId="10" fillId="0" borderId="0" xfId="0" applyNumberFormat="1" applyFont="1" applyFill="1" applyBorder="1" applyAlignment="1">
      <x:alignment horizontal="right"/>
    </x:xf>
    <x:xf numFmtId="0" fontId="11" fillId="3" borderId="2" xfId="0" applyNumberFormat="1" applyFont="1" applyFill="1" applyBorder="1" applyAlignment="1">
      <x:alignment horizontal="left"/>
    </x:xf>
    <x:xf numFmtId="200" fontId="11" fillId="3" borderId="2" xfId="0" applyNumberFormat="1" applyFont="1" applyFill="1" applyBorder="1" applyAlignment="1">
      <x:alignment horizontal="right"/>
    </x:xf>
    <x:xf numFmtId="200" fontId="11" fillId="0" borderId="2" xfId="0" applyNumberFormat="1" applyFont="1" applyFill="1" applyBorder="1" applyAlignment="1">
      <x:alignment horizontal="right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/>
    <x:xf numFmtId="0" fontId="11" fillId="0" borderId="3" xfId="0" applyNumberFormat="1" applyFont="1" applyFill="1" applyBorder="1" applyAlignment="1">
      <x:alignment horizontal="left"/>
    </x:xf>
    <x:xf numFmtId="0" fontId="11" fillId="0" borderId="3" xfId="0" applyNumberFormat="1" applyFont="1" applyFill="1" applyBorder="1" applyAlignment="1">
      <x:alignment horizontal="right"/>
    </x:xf>
    <x:xf numFmtId="0" fontId="10" fillId="3" borderId="1" xfId="0" applyNumberFormat="1" applyFont="1" applyFill="1" applyBorder="1" applyAlignment="1">
      <x:alignment horizontal="left"/>
    </x:xf>
    <x:xf numFmtId="200" fontId="10" fillId="3" borderId="1" xfId="0" applyNumberFormat="1" applyFont="1" applyFill="1" applyBorder="1" applyAlignment="1">
      <x:alignment horizontal="right"/>
    </x:xf>
    <x:xf numFmtId="0" fontId="10" fillId="0" borderId="1" xfId="0" applyNumberFormat="1" applyFont="1" applyFill="1" applyBorder="1" applyAlignment="1">
      <x:alignment horizontal="left"/>
    </x:xf>
    <x:xf numFmtId="200" fontId="10" fillId="0" borderId="1" xfId="0" applyNumberFormat="1" applyFont="1" applyFill="1" applyBorder="1" applyAlignment="1">
      <x:alignment horizontal="right"/>
    </x:xf>
    <x:xf numFmtId="0" fontId="11" fillId="3" borderId="3" xfId="0" applyNumberFormat="1" applyFont="1" applyFill="1" applyBorder="1" applyAlignment="1">
      <x:alignment horizontal="left"/>
    </x:xf>
    <x:xf numFmtId="200" fontId="11" fillId="3" borderId="3" xfId="0" applyNumberFormat="1" applyFont="1" applyFill="1" applyBorder="1" applyAlignment="1">
      <x:alignment horizontal="right"/>
    </x:xf>
    <x:xf numFmtId="200" fontId="11" fillId="0" borderId="3" xfId="0" applyNumberFormat="1" applyFont="1" applyFill="1" applyBorder="1" applyAlignment="1">
      <x:alignment horizontal="right"/>
    </x:xf>
    <x:xf numFmtId="0" fontId="8" fillId="3" borderId="0" xfId="0" applyNumberFormat="1" applyFont="1" applyFill="1" applyBorder="1" applyAlignment="1">
      <x:alignment horizontal="left"/>
    </x:xf>
    <x:xf numFmtId="200" fontId="8" fillId="3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 applyAlignment="1">
      <x:alignment horizontal="left"/>
    </x:xf>
    <x:xf numFmtId="200" fontId="8" fillId="0" borderId="0" xfId="0" applyNumberFormat="1" applyFont="1" applyFill="1" applyBorder="1" applyAlignment="1">
      <x:alignment horizontal="right"/>
    </x:xf>
    <x:xf numFmtId="0" fontId="8" fillId="3" borderId="1" xfId="0" applyNumberFormat="1" applyFont="1" applyFill="1" applyBorder="1" applyAlignment="1">
      <x:alignment horizontal="left"/>
    </x:xf>
    <x:xf numFmtId="200" fontId="8" fillId="3" borderId="1" xfId="0" applyNumberFormat="1" applyFont="1" applyFill="1" applyBorder="1" applyAlignment="1">
      <x:alignment horizontal="right"/>
    </x:xf>
    <x:xf numFmtId="0" fontId="8" fillId="0" borderId="1" xfId="0" applyNumberFormat="1" applyFont="1" applyFill="1" applyBorder="1" applyAlignment="1">
      <x:alignment horizontal="left"/>
    </x:xf>
    <x:xf numFmtId="200" fontId="8" fillId="0" borderId="1" xfId="0" applyNumberFormat="1" applyFont="1" applyFill="1" applyBorder="1" applyAlignment="1">
      <x:alignment horizontal="right"/>
    </x:xf>
    <x:xf numFmtId="0" fontId="11" fillId="3" borderId="0" xfId="0" applyNumberFormat="1" applyFont="1" applyFill="1" applyBorder="1" applyAlignment="1">
      <x:alignment horizontal="left"/>
    </x:xf>
    <x:xf numFmtId="200" fontId="11" fillId="3" borderId="0" xfId="0" applyNumberFormat="1" applyFont="1" applyFill="1" applyBorder="1" applyAlignment="1">
      <x:alignment horizontal="right"/>
    </x:xf>
    <x:xf numFmtId="0" fontId="11" fillId="0" borderId="0" xfId="0" applyNumberFormat="1" applyFont="1" applyFill="1" applyBorder="1" applyAlignment="1">
      <x:alignment horizontal="left"/>
    </x:xf>
    <x:xf numFmtId="200" fontId="11" fillId="0" borderId="0" xfId="0" applyNumberFormat="1" applyFont="1" applyFill="1" applyBorder="1" applyAlignment="1">
      <x:alignment horizontal="right"/>
    </x:xf>
    <x:xf numFmtId="0" fontId="11" fillId="3" borderId="1" xfId="0" applyNumberFormat="1" applyFont="1" applyFill="1" applyBorder="1" applyAlignment="1">
      <x:alignment horizontal="left"/>
    </x:xf>
    <x:xf numFmtId="200" fontId="11" fillId="3" borderId="1" xfId="0" applyNumberFormat="1" applyFont="1" applyFill="1" applyBorder="1" applyAlignment="1">
      <x:alignment horizontal="right"/>
    </x:xf>
    <x:xf numFmtId="0" fontId="11" fillId="0" borderId="1" xfId="0" applyNumberFormat="1" applyFont="1" applyFill="1" applyBorder="1" applyAlignment="1">
      <x:alignment horizontal="left"/>
    </x:xf>
    <x:xf numFmtId="200" fontId="11" fillId="0" borderId="1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 applyAlignment="1">
      <x:alignment horizontal="left"/>
    </x:xf>
    <x:xf numFmtId="0" fontId="12" fillId="2" borderId="0" xfId="0" applyNumberFormat="1" applyFont="1" applyFill="1" applyBorder="1" applyAlignment="1">
      <x:alignment horizontal="right"/>
    </x:xf>
    <x:xf numFmtId="201" fontId="6" fillId="0" borderId="0" xfId="0" applyNumberFormat="1" applyFont="1" applyFill="1" applyBorder="1" applyAlignment="1">
      <x:alignment horizontal="right"/>
    </x:xf>
    <x:xf numFmtId="202" fontId="6" fillId="0" borderId="0" xfId="0" applyNumberFormat="1" applyFont="1" applyFill="1" applyBorder="1" applyAlignment="1">
      <x:alignment horizontal="right"/>
    </x:xf>
    <x:xf numFmtId="0" fontId="12" fillId="2" borderId="1" xfId="0" applyNumberFormat="1" applyFont="1" applyFill="1" applyBorder="1" applyAlignment="1">
      <x:alignment horizontal="left"/>
    </x:xf>
    <x:xf numFmtId="0" fontId="12" fillId="2" borderId="1" xfId="0" applyNumberFormat="1" applyFont="1" applyFill="1" applyBorder="1" applyAlignment="1">
      <x:alignment horizontal="right"/>
    </x:xf>
    <x:xf numFmtId="201" fontId="6" fillId="0" borderId="1" xfId="0" applyNumberFormat="1" applyFont="1" applyFill="1" applyBorder="1" applyAlignment="1">
      <x:alignment horizontal="right"/>
    </x:xf>
    <x:xf numFmtId="202" fontId="6" fillId="0" borderId="1" xfId="0" applyNumberFormat="1" applyFont="1" applyFill="1" applyBorder="1" applyAlignment="1">
      <x:alignment horizontal="right"/>
    </x:xf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right"/>
    </x:xf>
    <x:xf numFmtId="201" fontId="10" fillId="0" borderId="0" xfId="0" applyNumberFormat="1" applyFont="1" applyFill="1" applyBorder="1" applyAlignment="1">
      <x:alignment horizontal="right"/>
    </x:xf>
    <x:xf numFmtId="202" fontId="10" fillId="0" borderId="0" xfId="0" applyNumberFormat="1" applyFont="1" applyFill="1" applyBorder="1" applyAlignment="1">
      <x:alignment horizontal="right"/>
    </x:xf>
    <x:xf numFmtId="0" fontId="9" fillId="2" borderId="1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 applyAlignment="1">
      <x:alignment horizontal="right"/>
    </x:xf>
    <x:xf numFmtId="201" fontId="10" fillId="0" borderId="1" xfId="0" applyNumberFormat="1" applyFont="1" applyFill="1" applyBorder="1" applyAlignment="1">
      <x:alignment horizontal="right"/>
    </x:xf>
    <x:xf numFmtId="202" fontId="10" fillId="0" borderId="1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/>
    <x:xf numFmtId="201" fontId="6" fillId="0" borderId="0" xfId="0" applyNumberFormat="1" applyFont="1" applyFill="1" applyBorder="1"/>
    <x:xf numFmtId="0" fontId="12" fillId="2" borderId="1" xfId="0" applyNumberFormat="1" applyFont="1" applyFill="1" applyBorder="1"/>
    <x:xf numFmtId="201" fontId="6" fillId="0" borderId="1" xfId="0" applyNumberFormat="1" applyFont="1" applyFill="1" applyBorder="1"/>
    <x:xf numFmtId="0" fontId="9" fillId="2" borderId="0" xfId="0" applyNumberFormat="1" applyFont="1" applyFill="1" applyBorder="1"/>
    <x:xf numFmtId="201" fontId="10" fillId="0" borderId="0" xfId="0" applyNumberFormat="1" applyFont="1" applyFill="1" applyBorder="1"/>
    <x:xf numFmtId="0" fontId="9" fillId="2" borderId="1" xfId="0" applyNumberFormat="1" applyFont="1" applyFill="1" applyBorder="1"/>
    <x:xf numFmtId="201" fontId="10" fillId="0" borderId="1" xfId="0" applyNumberFormat="1" applyFont="1" applyFill="1" applyBorder="1"/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6" fillId="0" borderId="1" xfId="0" applyNumberFormat="1" applyFont="1" applyFill="1" applyBorder="1"/>
    <x:xf numFmtId="200" fontId="10" fillId="0" borderId="0" xfId="0" applyNumberFormat="1" applyFont="1" applyFill="1" applyBorder="1"/>
    <x:xf numFmtId="202" fontId="10" fillId="0" borderId="0" xfId="0" applyNumberFormat="1" applyFont="1" applyFill="1" applyBorder="1"/>
    <x:xf numFmtId="200" fontId="10" fillId="0" borderId="1" xfId="0" applyNumberFormat="1" applyFont="1" applyFill="1" applyBorder="1"/>
    <x:xf numFmtId="202" fontId="10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13" fillId="3" borderId="0" xfId="0" applyNumberFormat="1" applyFont="1" applyFill="1" applyBorder="1" applyAlignment="1">
      <x:alignment horizontal="right"/>
    </x:xf>
    <x:xf numFmtId="200" fontId="13" fillId="0" borderId="0" xfId="0" applyNumberFormat="1" applyFont="1" applyFill="1" applyBorder="1" applyAlignment="1">
      <x:alignment horizontal="right"/>
    </x:xf>
    <x:xf numFmtId="200" fontId="14" fillId="3" borderId="2" xfId="0" applyNumberFormat="1" applyFont="1" applyFill="1" applyBorder="1" applyAlignment="1">
      <x:alignment horizontal="right"/>
    </x:xf>
    <x:xf numFmtId="200" fontId="14" fillId="0" borderId="2" xfId="0" applyNumberFormat="1" applyFont="1" applyFill="1" applyBorder="1" applyAlignment="1">
      <x:alignment horizontal="right"/>
    </x:xf>
    <x:xf numFmtId="200" fontId="14" fillId="3" borderId="0" xfId="0" applyNumberFormat="1" applyFont="1" applyFill="1" applyBorder="1" applyAlignment="1">
      <x:alignment horizontal="right"/>
    </x:xf>
    <x:xf numFmtId="200" fontId="14" fillId="0" borderId="0" xfId="0" applyNumberFormat="1" applyFont="1" applyFill="1" applyBorder="1" applyAlignment="1">
      <x:alignment horizontal="right"/>
    </x:xf>
    <x:xf numFmtId="201" fontId="13" fillId="0" borderId="0" xfId="0" applyNumberFormat="1" applyFont="1" applyFill="1" applyBorder="1" applyAlignment="1">
      <x:alignment horizontal="right"/>
    </x:xf>
    <x:xf numFmtId="202" fontId="13" fillId="0" borderId="0" xfId="0" applyNumberFormat="1" applyFont="1" applyFill="1" applyBorder="1" applyAlignment="1">
      <x:alignment horizontal="right"/>
    </x:xf>
    <x:xf numFmtId="201" fontId="13" fillId="0" borderId="0" xfId="0" applyNumberFormat="1" applyFont="1" applyFill="1" applyBorder="1"/>
    <x:xf numFmtId="200" fontId="13" fillId="0" borderId="0" xfId="0" applyNumberFormat="1" applyFont="1" applyFill="1" applyBorder="1"/>
    <x:xf numFmtId="202" fontId="13" fillId="0" borderId="0" xfId="0" applyNumberFormat="1" applyFont="1" applyFill="1" applyBorder="1"/>
    <x:xf numFmtId="203" fontId="13" fillId="3" borderId="0" xfId="0" applyNumberFormat="1" applyFont="1" applyFill="1" applyBorder="1" applyAlignment="1">
      <x:alignment horizontal="right"/>
    </x:xf>
    <x:xf numFmtId="203" fontId="13" fillId="0" borderId="0" xfId="0" applyNumberFormat="1" applyFont="1" applyFill="1" applyBorder="1" applyAlignment="1">
      <x:alignment horizontal="right"/>
    </x:xf>
    <x:xf numFmtId="203" fontId="14" fillId="3" borderId="2" xfId="0" applyNumberFormat="1" applyFont="1" applyFill="1" applyBorder="1" applyAlignment="1">
      <x:alignment horizontal="right"/>
    </x:xf>
    <x:xf numFmtId="203" fontId="14" fillId="0" borderId="2" xfId="0" applyNumberFormat="1" applyFont="1" applyFill="1" applyBorder="1" applyAlignment="1">
      <x:alignment horizontal="right"/>
    </x:xf>
    <x:xf numFmtId="203" fontId="14" fillId="3" borderId="0" xfId="0" applyNumberFormat="1" applyFont="1" applyFill="1" applyBorder="1" applyAlignment="1">
      <x:alignment horizontal="right"/>
    </x:xf>
    <x:xf numFmtId="203" fontId="14" fillId="0" borderId="0" xfId="0" applyNumberFormat="1" applyFont="1" applyFill="1" applyBorder="1" applyAlignment="1">
      <x:alignment horizontal="right"/>
    </x:xf>
    <x:xf numFmtId="203" fontId="13" fillId="0" borderId="0" xfId="0" applyNumberFormat="1" applyFont="1" applyFill="1" applyBorder="1"/>
    <x:xf numFmtId="204" fontId="13" fillId="0" borderId="0" xfId="0" applyNumberFormat="1" applyFont="1" applyFill="1" applyBorder="1"/>
    <x:xf numFmtId="205" fontId="13" fillId="0" borderId="0" xfId="0" applyNumberFormat="1" applyFont="1" applyFill="1" applyBorder="1"/>
    <x:xf numFmtId="204" fontId="13" fillId="0" borderId="0" xfId="0" applyNumberFormat="1" applyFont="1" applyFill="1" applyBorder="1" applyAlignment="1">
      <x:alignment horizontal="right"/>
    </x:xf>
    <x:xf numFmtId="205" fontId="13" fillId="0" borderId="0" xfId="0" applyNumberFormat="1" applyFont="1" applyFill="1" applyBorder="1" applyAlignment="1">
      <x:alignment horizontal="right"/>
    </x:xf>
    <x:xf numFmtId="0" fontId="15" fillId="2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2" xfId="0" applyNumberFormat="1" applyFont="1" applyFill="1" applyBorder="1" applyAlignment="1">
      <x:alignment horizontal="left"/>
    </x:xf>
    <x:xf numFmtId="0" fontId="16" fillId="0" borderId="2" xfId="0" applyNumberFormat="1" applyFont="1" applyFill="1" applyBorder="1" applyAlignment="1">
      <x:alignment horizontal="right"/>
    </x:xf>
    <x:xf numFmtId="0" fontId="16" fillId="3" borderId="0" xfId="0" applyNumberFormat="1" applyFont="1" applyFill="1" applyBorder="1" applyAlignment="1">
      <x:alignment horizontal="left"/>
    </x:xf>
    <x:xf numFmtId="203" fontId="17" fillId="3" borderId="0" xfId="0" applyNumberFormat="1" applyFont="1" applyFill="1" applyBorder="1" applyAlignment="1">
      <x:alignment horizontal="right"/>
    </x:xf>
    <x:xf numFmtId="0" fontId="16" fillId="0" borderId="0" xfId="0" applyNumberFormat="1" applyFont="1" applyFill="1" applyBorder="1" applyAlignment="1">
      <x:alignment horizontal="left"/>
    </x:xf>
    <x:xf numFmtId="203" fontId="17" fillId="0" borderId="0" xfId="0" applyNumberFormat="1" applyFont="1" applyFill="1" applyBorder="1" applyAlignment="1">
      <x:alignment horizontal="right"/>
    </x:xf>
    <x:xf numFmtId="0" fontId="16" fillId="3" borderId="2" xfId="0" applyNumberFormat="1" applyFont="1" applyFill="1" applyBorder="1" applyAlignment="1">
      <x:alignment horizontal="left"/>
    </x:xf>
    <x:xf numFmtId="203" fontId="17" fillId="3" borderId="2" xfId="0" applyNumberFormat="1" applyFont="1" applyFill="1" applyBorder="1" applyAlignment="1">
      <x:alignment horizontal="right"/>
    </x:xf>
    <x:xf numFmtId="203" fontId="17" fillId="0" borderId="2" xfId="0" applyNumberFormat="1" applyFont="1" applyFill="1" applyBorder="1" applyAlignment="1">
      <x:alignment horizontal="right"/>
    </x:xf>
    <x:xf numFmtId="0" fontId="15" fillId="2" borderId="0" xfId="0" applyNumberFormat="1" applyFont="1" applyFill="1" applyBorder="1" applyAlignment="1">
      <x:alignment horizontal="left"/>
    </x:xf>
    <x:xf numFmtId="0" fontId="15" fillId="2" borderId="0" xfId="0" applyNumberFormat="1" applyFont="1" applyFill="1" applyBorder="1" applyAlignment="1">
      <x:alignment horizontal="right"/>
    </x:xf>
    <x:xf numFmtId="204" fontId="17" fillId="0" borderId="0" xfId="0" applyNumberFormat="1" applyFont="1" applyFill="1" applyBorder="1" applyAlignment="1">
      <x:alignment horizontal="right"/>
    </x:xf>
    <x:xf numFmtId="205" fontId="17" fillId="0" borderId="0" xfId="0" applyNumberFormat="1" applyFont="1" applyFill="1" applyBorder="1" applyAlignment="1">
      <x:alignment horizontal="right"/>
    </x:xf>
    <x:xf numFmtId="0" fontId="15" fillId="2" borderId="0" xfId="0" applyNumberFormat="1" applyFont="1" applyFill="1" applyBorder="1"/>
    <x:xf numFmtId="204" fontId="17" fillId="0" borderId="0" xfId="0" applyNumberFormat="1" applyFont="1" applyFill="1" applyBorder="1"/>
    <x:xf numFmtId="203" fontId="17" fillId="0" borderId="0" xfId="0" applyNumberFormat="1" applyFont="1" applyFill="1" applyBorder="1"/>
    <x:xf numFmtId="205" fontId="17" fillId="0" borderId="0" xfId="0" applyNumberFormat="1" applyFont="1" applyFill="1" applyBorder="1"/>
    <x:xf numFmtId="0" fontId="15" fillId="2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horizontal="left"/>
    </x:xf>
    <x:xf numFmtId="0" fontId="10" fillId="0" borderId="2" xfId="0" applyNumberFormat="1" applyFont="1" applyFill="1" applyBorder="1" applyAlignment="1">
      <x:alignment horizontal="right"/>
    </x:xf>
    <x:xf numFmtId="0" fontId="10" fillId="3" borderId="2" xfId="0" applyNumberFormat="1" applyFont="1" applyFill="1" applyBorder="1" applyAlignment="1">
      <x:alignment horizontal="left"/>
    </x:xf>
    <x:xf numFmtId="203" fontId="13" fillId="3" borderId="2" xfId="0" applyNumberFormat="1" applyFont="1" applyFill="1" applyBorder="1" applyAlignment="1">
      <x:alignment horizontal="right"/>
    </x:xf>
    <x:xf numFmtId="203" fontId="13" fillId="0" borderId="2" xfId="0" applyNumberFormat="1" applyFont="1" applyFill="1" applyBorder="1" applyAlignment="1">
      <x:alignment horizontal="right"/>
    </x:xf>
    <x:xf numFmtId="0" fontId="18" fillId="2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/>
    <x:xf numFmtId="0" fontId="19" fillId="0" borderId="2" xfId="0" applyNumberFormat="1" applyFont="1" applyFill="1" applyBorder="1" applyAlignment="1">
      <x:alignment horizontal="left"/>
    </x:xf>
    <x:xf numFmtId="0" fontId="19" fillId="0" borderId="2" xfId="0" applyNumberFormat="1" applyFont="1" applyFill="1" applyBorder="1" applyAlignment="1">
      <x:alignment horizontal="right"/>
    </x:xf>
    <x:xf numFmtId="0" fontId="19" fillId="3" borderId="0" xfId="0" applyNumberFormat="1" applyFont="1" applyFill="1" applyBorder="1" applyAlignment="1">
      <x:alignment horizontal="left"/>
    </x:xf>
    <x:xf numFmtId="203" fontId="20" fillId="3" borderId="0" xfId="0" applyNumberFormat="1" applyFont="1" applyFill="1" applyBorder="1" applyAlignment="1">
      <x:alignment horizontal="right"/>
    </x:xf>
    <x:xf numFmtId="0" fontId="19" fillId="0" borderId="0" xfId="0" applyNumberFormat="1" applyFont="1" applyFill="1" applyBorder="1" applyAlignment="1">
      <x:alignment horizontal="left"/>
    </x:xf>
    <x:xf numFmtId="203" fontId="20" fillId="0" borderId="0" xfId="0" applyNumberFormat="1" applyFont="1" applyFill="1" applyBorder="1" applyAlignment="1">
      <x:alignment horizontal="right"/>
    </x:xf>
    <x:xf numFmtId="0" fontId="19" fillId="3" borderId="2" xfId="0" applyNumberFormat="1" applyFont="1" applyFill="1" applyBorder="1" applyAlignment="1">
      <x:alignment horizontal="left"/>
    </x:xf>
    <x:xf numFmtId="203" fontId="20" fillId="3" borderId="2" xfId="0" applyNumberFormat="1" applyFont="1" applyFill="1" applyBorder="1" applyAlignment="1">
      <x:alignment horizontal="right"/>
    </x:xf>
    <x:xf numFmtId="203" fontId="20" fillId="0" borderId="2" xfId="0" applyNumberFormat="1" applyFont="1" applyFill="1" applyBorder="1" applyAlignment="1">
      <x:alignment horizontal="right"/>
    </x:xf>
    <x:xf numFmtId="0" fontId="18" fillId="2" borderId="0" xfId="0" applyNumberFormat="1" applyFont="1" applyFill="1" applyBorder="1" applyAlignment="1">
      <x:alignment horizontal="left"/>
    </x:xf>
    <x:xf numFmtId="0" fontId="18" fillId="2" borderId="0" xfId="0" applyNumberFormat="1" applyFont="1" applyFill="1" applyBorder="1" applyAlignment="1">
      <x:alignment horizontal="right"/>
    </x:xf>
    <x:xf numFmtId="204" fontId="20" fillId="0" borderId="0" xfId="0" applyNumberFormat="1" applyFont="1" applyFill="1" applyBorder="1" applyAlignment="1">
      <x:alignment horizontal="right"/>
    </x:xf>
    <x:xf numFmtId="205" fontId="20" fillId="0" borderId="0" xfId="0" applyNumberFormat="1" applyFont="1" applyFill="1" applyBorder="1" applyAlignment="1">
      <x:alignment horizontal="right"/>
    </x:xf>
    <x:xf numFmtId="0" fontId="18" fillId="2" borderId="0" xfId="0" applyNumberFormat="1" applyFont="1" applyFill="1" applyBorder="1"/>
    <x:xf numFmtId="204" fontId="20" fillId="0" borderId="0" xfId="0" applyNumberFormat="1" applyFont="1" applyFill="1" applyBorder="1"/>
    <x:xf numFmtId="203" fontId="20" fillId="0" borderId="0" xfId="0" applyNumberFormat="1" applyFont="1" applyFill="1" applyBorder="1"/>
    <x:xf numFmtId="205" fontId="20" fillId="0" borderId="0" xfId="0" applyNumberFormat="1" applyFont="1" applyFill="1" applyBorder="1"/>
    <x:xf numFmtId="0" fontId="18" fillId="2" borderId="0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 applyAlignment="1">
      <x:alignment wrapText="1"/>
    </x:xf>
    <x:xf numFmtId="0" fontId="18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6ddc9a65b4284" /><Relationship Type="http://schemas.openxmlformats.org/officeDocument/2006/relationships/theme" Target="/xl/theme/theme1.xml" Id="R4cec3498374b4978" /><Relationship Type="http://schemas.openxmlformats.org/officeDocument/2006/relationships/sharedStrings" Target="/xl/sharedStrings.xml" Id="Ree900977265b4987" /><Relationship Type="http://schemas.openxmlformats.org/officeDocument/2006/relationships/worksheet" Target="/xl/worksheets/sheet1.xml" Id="R8eb8b87c48f34d56" /><Relationship Type="http://schemas.openxmlformats.org/officeDocument/2006/relationships/worksheet" Target="/xl/worksheets/sheet2.xml" Id="R4bc772e5045141f6" /><Relationship Type="http://schemas.openxmlformats.org/officeDocument/2006/relationships/worksheet" Target="/xl/worksheets/sheet3.xml" Id="R8ed153b53c9e46b6" /><Relationship Type="http://schemas.openxmlformats.org/officeDocument/2006/relationships/worksheet" Target="/xl/worksheets/sheet4.xml" Id="Rc0d5ad703b634ac6" /><Relationship Type="http://schemas.openxmlformats.org/officeDocument/2006/relationships/worksheet" Target="/xl/worksheets/sheet5.xml" Id="R9433287dce8d47a5" /><Relationship Type="http://schemas.openxmlformats.org/officeDocument/2006/relationships/worksheet" Target="/xl/worksheets/sheet6.xml" Id="R9a806b2a5eb54e77" /><Relationship Type="http://schemas.openxmlformats.org/officeDocument/2006/relationships/worksheet" Target="/xl/worksheets/sheet7.xml" Id="R85c05af20f2f44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4" customHeight="1">
      <x:c r="A1" s="229" t="str">
        <x:v>Asda Group Limited</x:v>
      </x:c>
      <x:c r="B1" s="229"/>
      <x:c r="C1" s="229"/>
      <x:c r="D1" s="22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4" customHeight="1">
      <x:c r="A2" s="229"/>
      <x:c r="B2" s="229"/>
      <x:c r="C2" s="229"/>
      <x:c r="D2" s="229"/>
      <x:c r="E2" s="99"/>
      <x:c r="F2" s="99"/>
      <x:c r="G2" s="99"/>
      <x:c r="H2" s="99"/>
      <x:c r="I2" s="99"/>
      <x:c r="J2" s="99"/>
      <x:c r="K2" s="99"/>
      <x:c r="L2" s="99"/>
      <x:c r="M2" s="99"/>
    </x:row>
    <x:row r="3" ht="24" customHeight="1">
      <x:c r="A3" s="229" t="str">
        <x:v>Income Statement | FY2023 to FY2025</x:v>
      </x:c>
      <x:c r="B3" s="229"/>
      <x:c r="C3" s="229"/>
      <x:c r="D3" s="229"/>
      <x:c r="E3" s="99"/>
      <x:c r="F3" s="99"/>
      <x:c r="G3" s="99"/>
      <x:c r="H3" s="99"/>
      <x:c r="I3" s="99"/>
      <x:c r="J3" s="99"/>
      <x:c r="K3" s="99"/>
      <x:c r="L3" s="99"/>
      <x:c r="M3" s="99"/>
    </x:row>
    <x:row r="4">
      <x:c r="A4" s="230"/>
      <x:c r="B4" s="230"/>
      <x:c r="C4" s="230"/>
      <x:c r="D4" s="230"/>
      <x:c r="E4" s="99"/>
      <x:c r="F4" s="99"/>
      <x:c r="G4" s="99"/>
      <x:c r="H4" s="99"/>
      <x:c r="I4" s="99"/>
      <x:c r="J4" s="99"/>
      <x:c r="K4" s="99"/>
      <x:c r="L4" s="99"/>
      <x:c r="M4" s="99"/>
    </x:row>
    <x:row r="5">
      <x:c r="A5" s="231" t="str">
        <x:v>£m</x:v>
      </x:c>
      <x:c r="B5" s="232" t="str">
        <x:v>FY2023</x:v>
      </x:c>
      <x:c r="C5" s="232" t="str">
        <x:v>FY2024</x:v>
      </x:c>
      <x:c r="D5" s="232" t="str">
        <x:v>FY2025</x:v>
      </x:c>
      <x:c r="E5" s="99"/>
      <x:c r="F5" s="99"/>
      <x:c r="G5" s="99"/>
      <x:c r="H5" s="99"/>
      <x:c r="I5" s="99"/>
      <x:c r="J5" s="99"/>
      <x:c r="K5" s="99"/>
      <x:c r="L5" s="99"/>
      <x:c r="M5" s="99"/>
    </x:row>
    <x:row r="6">
      <x:c r="A6" s="233" t="str">
        <x:v>Revenue</x:v>
      </x:c>
      <x:c r="B6" s="234" t="n">
        <x:v>25616.9</x:v>
      </x:c>
      <x:c r="C6" s="234" t="n">
        <x:v>26846.6</x:v>
      </x:c>
      <x:c r="D6" s="234" t="n">
        <x:v>25878</x:v>
      </x:c>
      <x:c r="E6" s="99"/>
      <x:c r="F6" s="99"/>
      <x:c r="G6" s="99"/>
      <x:c r="H6" s="99"/>
      <x:c r="I6" s="99"/>
      <x:c r="J6" s="99"/>
      <x:c r="K6" s="99"/>
      <x:c r="L6" s="99"/>
      <x:c r="M6" s="99"/>
    </x:row>
    <x:row r="7">
      <x:c r="A7" s="235" t="str">
        <x:v>Cost of goods sold</x:v>
      </x:c>
      <x:c r="B7" s="236" t="n">
        <x:v>-19405.5</x:v>
      </x:c>
      <x:c r="C7" s="236" t="n">
        <x:v>-20325.4</x:v>
      </x:c>
      <x:c r="D7" s="236" t="n">
        <x:v>-19736.7</x:v>
      </x:c>
      <x:c r="E7" s="99"/>
      <x:c r="F7" s="99"/>
      <x:c r="G7" s="99"/>
      <x:c r="H7" s="99"/>
      <x:c r="I7" s="99"/>
      <x:c r="J7" s="99"/>
      <x:c r="K7" s="99"/>
      <x:c r="L7" s="99"/>
      <x:c r="M7" s="99"/>
    </x:row>
    <x:row r="8">
      <x:c r="A8" s="237" t="str">
        <x:v>Gross profit</x:v>
      </x:c>
      <x:c r="B8" s="238" t="n">
        <x:v>6211.4</x:v>
      </x:c>
      <x:c r="C8" s="238" t="n">
        <x:v>6521.2</x:v>
      </x:c>
      <x:c r="D8" s="238" t="n">
        <x:v>6141.3</x:v>
      </x:c>
      <x:c r="E8" s="99"/>
      <x:c r="F8" s="99"/>
      <x:c r="G8" s="99"/>
      <x:c r="H8" s="99"/>
      <x:c r="I8" s="99"/>
      <x:c r="J8" s="99"/>
      <x:c r="K8" s="99"/>
      <x:c r="L8" s="99"/>
      <x:c r="M8" s="99"/>
    </x:row>
    <x:row r="9">
      <x:c r="A9" s="235" t="str">
        <x:v>Other income</x:v>
      </x:c>
      <x:c r="B9" s="236" t="n">
        <x:v>70.9</x:v>
      </x:c>
      <x:c r="C9" s="236" t="n">
        <x:v>80.1</x:v>
      </x:c>
      <x:c r="D9" s="236" t="n">
        <x:v>97</x:v>
      </x:c>
      <x:c r="E9" s="99"/>
      <x:c r="F9" s="99"/>
      <x:c r="G9" s="99"/>
      <x:c r="H9" s="99"/>
      <x:c r="I9" s="99"/>
      <x:c r="J9" s="99"/>
      <x:c r="K9" s="99"/>
      <x:c r="L9" s="99"/>
      <x:c r="M9" s="99"/>
    </x:row>
    <x:row r="10">
      <x:c r="A10" s="233" t="str">
        <x:v>Operating costs</x:v>
      </x:c>
      <x:c r="B10" s="234" t="n">
        <x:v>-25119.2</x:v>
      </x:c>
      <x:c r="C10" s="234" t="n">
        <x:v>-26970.3</x:v>
      </x:c>
      <x:c r="D10" s="234" t="n">
        <x:v>-26326.4</x:v>
      </x:c>
      <x:c r="E10" s="99"/>
      <x:c r="F10" s="99"/>
      <x:c r="G10" s="99"/>
      <x:c r="H10" s="99"/>
      <x:c r="I10" s="99"/>
      <x:c r="J10" s="99"/>
      <x:c r="K10" s="99"/>
      <x:c r="L10" s="99"/>
      <x:c r="M10" s="99"/>
    </x:row>
    <x:row r="11">
      <x:c r="A11" s="231" t="str">
        <x:v>Operating profit/(loss)</x:v>
      </x:c>
      <x:c r="B11" s="239" t="n">
        <x:v>568.6</x:v>
      </x:c>
      <x:c r="C11" s="239" t="n">
        <x:v>-43.6</x:v>
      </x:c>
      <x:c r="D11" s="239" t="n">
        <x:v>-351.4</x:v>
      </x:c>
      <x:c r="E11" s="99"/>
      <x:c r="F11" s="99"/>
      <x:c r="G11" s="99"/>
      <x:c r="H11" s="99"/>
      <x:c r="I11" s="99"/>
      <x:c r="J11" s="99"/>
      <x:c r="K11" s="99"/>
      <x:c r="L11" s="99"/>
      <x:c r="M11" s="99"/>
    </x:row>
    <x:row r="12">
      <x:c r="A12" s="237" t="str">
        <x:v>Profit/(loss) before tax</x:v>
      </x:c>
      <x:c r="B12" s="238" t="n">
        <x:v>180.3</x:v>
      </x:c>
      <x:c r="C12" s="238" t="n">
        <x:v>-599</x:v>
      </x:c>
      <x:c r="D12" s="238" t="n">
        <x:v>-989</x:v>
      </x:c>
      <x:c r="E12" s="99"/>
      <x:c r="F12" s="99"/>
      <x:c r="G12" s="99"/>
      <x:c r="H12" s="99"/>
      <x:c r="I12" s="99"/>
      <x:c r="J12" s="99"/>
      <x:c r="K12" s="99"/>
      <x:c r="L12" s="99"/>
      <x:c r="M12" s="99"/>
    </x:row>
    <x:row r="13">
      <x:c r="A13" s="231" t="str">
        <x:v>Profit/(loss) for the year</x:v>
      </x:c>
      <x:c r="B13" s="239" t="n">
        <x:v>194.5</x:v>
      </x:c>
      <x:c r="C13" s="239" t="n">
        <x:v>-487.2</x:v>
      </x:c>
      <x:c r="D13" s="239" t="n">
        <x:v>-716.2</x:v>
      </x:c>
      <x:c r="E13" s="99"/>
      <x:c r="F13" s="99"/>
      <x:c r="G13" s="99"/>
      <x:c r="H13" s="99"/>
      <x:c r="I13" s="99"/>
      <x:c r="J13" s="99"/>
      <x:c r="K13" s="99"/>
      <x:c r="L13" s="99"/>
      <x:c r="M13" s="99"/>
    </x:row>
    <x:row r="14">
      <x:c r="A14" s="99"/>
      <x:c r="B14" s="99"/>
      <x:c r="C14" s="99"/>
      <x:c r="D14" s="99"/>
      <x:c r="E14" s="99"/>
      <x:c r="F14" s="99"/>
      <x:c r="G14" s="99"/>
      <x:c r="H14" s="99"/>
      <x:c r="I14" s="99"/>
      <x:c r="J14" s="99"/>
      <x:c r="K14" s="99"/>
      <x:c r="L14" s="99"/>
      <x:c r="M14" s="99"/>
    </x:row>
    <x:row r="15">
      <x:c r="A15" s="99"/>
      <x:c r="B15" s="99"/>
      <x:c r="C15" s="99"/>
      <x:c r="D15" s="99"/>
      <x:c r="E15" s="99"/>
      <x:c r="F15" s="99"/>
      <x:c r="G15" s="99"/>
      <x:c r="H15" s="99"/>
      <x:c r="I15" s="99"/>
      <x:c r="J15" s="99"/>
      <x:c r="K15" s="99"/>
      <x:c r="L15" s="99"/>
      <x:c r="M15" s="99"/>
    </x:row>
    <x:row r="16">
      <x:c r="A16" s="99"/>
      <x:c r="B16" s="99"/>
      <x:c r="C16" s="99"/>
      <x:c r="D16" s="99"/>
      <x:c r="E16" s="99"/>
      <x:c r="F16" s="99"/>
      <x:c r="G16" s="99"/>
      <x:c r="H16" s="99"/>
      <x:c r="I16" s="99"/>
      <x:c r="J16" s="99"/>
      <x:c r="K16" s="99"/>
      <x:c r="L16" s="99"/>
      <x:c r="M16" s="99"/>
    </x:row>
    <x:row r="17">
      <x:c r="A17" s="99"/>
      <x:c r="B17" s="99"/>
      <x:c r="C17" s="99"/>
      <x:c r="D17" s="99"/>
      <x:c r="E17" s="99"/>
      <x:c r="F17" s="99"/>
      <x:c r="G17" s="99"/>
      <x:c r="H17" s="99"/>
      <x:c r="I17" s="99"/>
      <x:c r="J17" s="99"/>
      <x:c r="K17" s="99"/>
      <x:c r="L17" s="99"/>
      <x:c r="M17" s="99"/>
    </x:row>
    <x:row r="18">
      <x:c r="A18" s="99"/>
      <x:c r="B18" s="99"/>
      <x:c r="C18" s="99"/>
      <x:c r="D18" s="99"/>
      <x:c r="E18" s="99"/>
      <x:c r="F18" s="99"/>
      <x:c r="G18" s="99"/>
      <x:c r="H18" s="99"/>
      <x:c r="I18" s="99"/>
      <x:c r="J18" s="99"/>
      <x:c r="K18" s="99"/>
      <x:c r="L18" s="99"/>
      <x:c r="M18" s="99"/>
    </x:row>
    <x:row r="19">
      <x:c r="A19" s="99"/>
      <x:c r="B19" s="99"/>
      <x:c r="C19" s="99"/>
      <x:c r="D19" s="99"/>
      <x:c r="E19" s="99"/>
      <x:c r="F19" s="99"/>
      <x:c r="G19" s="99"/>
      <x:c r="H19" s="99"/>
      <x:c r="I19" s="99"/>
      <x:c r="J19" s="99"/>
      <x:c r="K19" s="99"/>
      <x:c r="L19" s="99"/>
      <x:c r="M19" s="99"/>
    </x:row>
    <x:row r="20">
      <x:c r="A20" s="99"/>
      <x:c r="B20" s="99"/>
      <x:c r="C20" s="99"/>
      <x:c r="D20" s="99"/>
      <x:c r="E20" s="99"/>
      <x:c r="F20" s="99"/>
      <x:c r="G20" s="99"/>
      <x:c r="H20" s="99"/>
      <x:c r="I20" s="99"/>
      <x:c r="J20" s="99"/>
      <x:c r="K20" s="99"/>
      <x:c r="L20" s="99"/>
      <x:c r="M20" s="99"/>
    </x:row>
    <x:row r="21">
      <x:c r="A21" s="99"/>
      <x:c r="B21" s="99"/>
      <x:c r="C21" s="99"/>
      <x:c r="D21" s="99"/>
      <x:c r="E21" s="99"/>
      <x:c r="F21" s="99"/>
      <x:c r="G21" s="99"/>
      <x:c r="H21" s="99"/>
      <x:c r="I21" s="99"/>
      <x:c r="J21" s="99"/>
      <x:c r="K21" s="99"/>
      <x:c r="L21" s="99"/>
      <x:c r="M21" s="99"/>
    </x:row>
    <x:row r="22">
      <x:c r="A22" s="99"/>
      <x:c r="B22" s="99"/>
      <x:c r="C22" s="99"/>
      <x:c r="D22" s="99"/>
      <x:c r="E22" s="99"/>
      <x:c r="F22" s="99"/>
      <x:c r="G22" s="99"/>
      <x:c r="H22" s="99"/>
      <x:c r="I22" s="99"/>
      <x:c r="J22" s="99"/>
      <x:c r="K22" s="99"/>
      <x:c r="L22" s="99"/>
      <x:c r="M22" s="99"/>
    </x:row>
    <x:row r="23">
      <x:c r="A23" s="99"/>
      <x:c r="B23" s="99"/>
      <x:c r="C23" s="99"/>
      <x:c r="D23" s="99"/>
      <x:c r="E23" s="99"/>
      <x:c r="F23" s="99"/>
      <x:c r="G23" s="99"/>
      <x:c r="H23" s="99"/>
      <x:c r="I23" s="99"/>
      <x:c r="J23" s="99"/>
      <x:c r="K23" s="99"/>
      <x:c r="L23" s="99"/>
      <x:c r="M23" s="99"/>
    </x:row>
    <x:row r="24">
      <x:c r="A24" s="99"/>
      <x:c r="B24" s="99"/>
      <x:c r="C24" s="99"/>
      <x:c r="D24" s="99"/>
      <x:c r="E24" s="99"/>
      <x:c r="F24" s="99"/>
      <x:c r="G24" s="99"/>
      <x:c r="H24" s="99"/>
      <x:c r="I24" s="99"/>
      <x:c r="J24" s="99"/>
      <x:c r="K24" s="99"/>
      <x:c r="L24" s="99"/>
      <x:c r="M24" s="99"/>
    </x:row>
    <x:row r="25">
      <x:c r="A25" s="99"/>
      <x:c r="B25" s="99"/>
      <x:c r="C25" s="99"/>
      <x:c r="D25" s="99"/>
      <x:c r="E25" s="99"/>
      <x:c r="F25" s="99"/>
      <x:c r="G25" s="99"/>
      <x:c r="H25" s="99"/>
      <x:c r="I25" s="99"/>
      <x:c r="J25" s="99"/>
      <x:c r="K25" s="99"/>
      <x:c r="L25" s="99"/>
      <x:c r="M25" s="99"/>
    </x:row>
    <x:row r="26">
      <x:c r="A26" s="99"/>
      <x:c r="B26" s="99"/>
      <x:c r="C26" s="99"/>
      <x:c r="D26" s="99"/>
      <x:c r="E26" s="99"/>
      <x:c r="F26" s="99"/>
      <x:c r="G26" s="99"/>
      <x:c r="H26" s="99"/>
      <x:c r="I26" s="99"/>
      <x:c r="J26" s="99"/>
      <x:c r="K26" s="99"/>
      <x:c r="L26" s="99"/>
      <x:c r="M26" s="99"/>
    </x:row>
    <x:row r="27">
      <x:c r="A27" s="99"/>
      <x:c r="B27" s="99"/>
      <x:c r="C27" s="99"/>
      <x:c r="D27" s="99"/>
      <x:c r="E27" s="99"/>
      <x:c r="F27" s="99"/>
      <x:c r="G27" s="99"/>
      <x:c r="H27" s="99"/>
      <x:c r="I27" s="99"/>
      <x:c r="J27" s="99"/>
      <x:c r="K27" s="99"/>
      <x:c r="L27" s="99"/>
      <x:c r="M27" s="99"/>
    </x:row>
    <x:row r="28">
      <x:c r="A28" s="99"/>
      <x:c r="B28" s="99"/>
      <x:c r="C28" s="99"/>
      <x:c r="D28" s="99"/>
      <x:c r="E28" s="99"/>
      <x:c r="F28" s="99"/>
      <x:c r="G28" s="99"/>
      <x:c r="H28" s="99"/>
      <x:c r="I28" s="99"/>
      <x:c r="J28" s="99"/>
      <x:c r="K28" s="99"/>
      <x:c r="L28" s="99"/>
      <x:c r="M28" s="99"/>
    </x:row>
    <x:row r="29">
      <x:c r="A29" s="99"/>
      <x:c r="B29" s="99"/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  <x:c r="M29" s="99"/>
    </x:row>
    <x:row r="30">
      <x:c r="A30" s="99"/>
      <x:c r="B30" s="99"/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  <x:c r="M30" s="99"/>
    </x:row>
    <x:row r="31">
      <x:c r="A31" s="99"/>
      <x:c r="B31" s="99"/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  <x:c r="M31" s="99"/>
    </x:row>
    <x:row r="32">
      <x:c r="A32" s="99"/>
      <x:c r="B32" s="99"/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  <x:c r="M32" s="99"/>
    </x:row>
    <x:row r="33">
      <x:c r="A33" s="99"/>
      <x:c r="B33" s="99"/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  <x:c r="M33" s="99"/>
    </x:row>
    <x:row r="34">
      <x:c r="A34" s="99"/>
      <x:c r="B34" s="99"/>
      <x:c r="C34" s="99"/>
      <x:c r="D34" s="99"/>
      <x:c r="E34" s="99"/>
      <x:c r="F34" s="99"/>
      <x:c r="G34" s="99"/>
      <x:c r="H34" s="99"/>
      <x:c r="I34" s="99"/>
      <x:c r="J34" s="99"/>
      <x:c r="K34" s="99"/>
      <x:c r="L34" s="99"/>
      <x:c r="M34" s="99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</x:row>
    <x:row r="38">
      <x:c r="A38" s="99"/>
      <x:c r="B38" s="99"/>
      <x:c r="C38" s="99"/>
      <x:c r="D38" s="99"/>
      <x:c r="E38" s="99"/>
      <x:c r="F38" s="99"/>
      <x:c r="G38" s="99"/>
      <x:c r="H38" s="99"/>
      <x:c r="I38" s="99"/>
      <x:c r="J38" s="99"/>
      <x:c r="K38" s="99"/>
      <x:c r="L38" s="99"/>
      <x:c r="M38" s="99"/>
    </x:row>
    <x:row r="39">
      <x:c r="A39" s="99"/>
      <x:c r="B39" s="99"/>
      <x:c r="C39" s="99"/>
      <x:c r="D39" s="99"/>
      <x:c r="E39" s="99"/>
      <x:c r="F39" s="99"/>
      <x:c r="G39" s="99"/>
      <x:c r="H39" s="99"/>
      <x:c r="I39" s="99"/>
      <x:c r="J39" s="99"/>
      <x:c r="K39" s="99"/>
      <x:c r="L39" s="99"/>
      <x:c r="M39" s="99"/>
    </x:row>
    <x:row r="40">
      <x:c r="A40" s="99"/>
      <x:c r="B40" s="99"/>
      <x:c r="C40" s="99"/>
      <x:c r="D40" s="99"/>
      <x:c r="E40" s="99"/>
      <x:c r="F40" s="99"/>
      <x:c r="G40" s="99"/>
      <x:c r="H40" s="99"/>
      <x:c r="I40" s="99"/>
      <x:c r="J40" s="99"/>
      <x:c r="K40" s="99"/>
      <x:c r="L40" s="99"/>
      <x:c r="M40" s="99"/>
    </x:row>
  </x:sheetData>
  <x:mergeCells>
    <x:mergeCell ref="A1:D2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4" customHeight="1">
      <x:c r="A1" s="229" t="str">
        <x:v>Asda Group Limited</x:v>
      </x:c>
      <x:c r="B1" s="229"/>
      <x:c r="C1" s="229"/>
      <x:c r="D1" s="22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4" customHeight="1">
      <x:c r="A2" s="229"/>
      <x:c r="B2" s="229"/>
      <x:c r="C2" s="229"/>
      <x:c r="D2" s="229"/>
      <x:c r="E2" s="99"/>
      <x:c r="F2" s="99"/>
      <x:c r="G2" s="99"/>
      <x:c r="H2" s="99"/>
      <x:c r="I2" s="99"/>
      <x:c r="J2" s="99"/>
      <x:c r="K2" s="99"/>
      <x:c r="L2" s="99"/>
      <x:c r="M2" s="99"/>
    </x:row>
    <x:row r="3" ht="24" customHeight="1">
      <x:c r="A3" s="229" t="str">
        <x:v>Balance Sheet | FY2023 to FY2025</x:v>
      </x:c>
      <x:c r="B3" s="229"/>
      <x:c r="C3" s="229"/>
      <x:c r="D3" s="229"/>
      <x:c r="E3" s="99"/>
      <x:c r="F3" s="99"/>
      <x:c r="G3" s="99"/>
      <x:c r="H3" s="99"/>
      <x:c r="I3" s="99"/>
      <x:c r="J3" s="99"/>
      <x:c r="K3" s="99"/>
      <x:c r="L3" s="99"/>
      <x:c r="M3" s="99"/>
    </x:row>
    <x:row r="4">
      <x:c r="A4" s="230"/>
      <x:c r="B4" s="230"/>
      <x:c r="C4" s="230"/>
      <x:c r="D4" s="230"/>
      <x:c r="E4" s="99"/>
      <x:c r="F4" s="99"/>
      <x:c r="G4" s="99"/>
      <x:c r="H4" s="99"/>
      <x:c r="I4" s="99"/>
      <x:c r="J4" s="99"/>
      <x:c r="K4" s="99"/>
      <x:c r="L4" s="99"/>
      <x:c r="M4" s="99"/>
    </x:row>
    <x:row r="5">
      <x:c r="A5" s="231" t="str">
        <x:v>£m</x:v>
      </x:c>
      <x:c r="B5" s="232" t="str">
        <x:v>FY2023</x:v>
      </x:c>
      <x:c r="C5" s="232" t="str">
        <x:v>FY2024</x:v>
      </x:c>
      <x:c r="D5" s="232" t="str">
        <x:v>FY2025</x:v>
      </x:c>
      <x:c r="E5" s="99"/>
      <x:c r="F5" s="99"/>
      <x:c r="G5" s="99"/>
      <x:c r="H5" s="99"/>
      <x:c r="I5" s="99"/>
      <x:c r="J5" s="99"/>
      <x:c r="K5" s="99"/>
      <x:c r="L5" s="99"/>
      <x:c r="M5" s="99"/>
    </x:row>
    <x:row r="6">
      <x:c r="A6" s="233" t="str">
        <x:v>Non current assets</x:v>
      </x:c>
      <x:c r="B6" s="234" t="n">
        <x:v>16529.5</x:v>
      </x:c>
      <x:c r="C6" s="234" t="n">
        <x:v>15923.6</x:v>
      </x:c>
      <x:c r="D6" s="234" t="n">
        <x:v>15223.3</x:v>
      </x:c>
      <x:c r="E6" s="99"/>
      <x:c r="F6" s="99"/>
      <x:c r="G6" s="99"/>
      <x:c r="H6" s="99"/>
      <x:c r="I6" s="99"/>
      <x:c r="J6" s="99"/>
      <x:c r="K6" s="99"/>
      <x:c r="L6" s="99"/>
      <x:c r="M6" s="99"/>
    </x:row>
    <x:row r="7">
      <x:c r="A7" s="235" t="str">
        <x:v>Current assets</x:v>
      </x:c>
      <x:c r="B7" s="236" t="n">
        <x:v>2683</x:v>
      </x:c>
      <x:c r="C7" s="236" t="n">
        <x:v>2497.5</x:v>
      </x:c>
      <x:c r="D7" s="236" t="n">
        <x:v>3092</x:v>
      </x:c>
      <x:c r="E7" s="99"/>
      <x:c r="F7" s="99"/>
      <x:c r="G7" s="99"/>
      <x:c r="H7" s="99"/>
      <x:c r="I7" s="99"/>
      <x:c r="J7" s="99"/>
      <x:c r="K7" s="99"/>
      <x:c r="L7" s="99"/>
      <x:c r="M7" s="99"/>
    </x:row>
    <x:row r="8">
      <x:c r="A8" s="233" t="str">
        <x:v>Assets held for sale</x:v>
      </x:c>
      <x:c r="B8" s="234" t="n">
        <x:v>76.4</x:v>
      </x:c>
      <x:c r="C8" s="234" t="n">
        <x:v>24.5</x:v>
      </x:c>
      <x:c r="D8" s="234" t="n">
        <x:v>21.1</x:v>
      </x:c>
      <x:c r="E8" s="99"/>
      <x:c r="F8" s="99"/>
      <x:c r="G8" s="99"/>
      <x:c r="H8" s="99"/>
      <x:c r="I8" s="99"/>
      <x:c r="J8" s="99"/>
      <x:c r="K8" s="99"/>
      <x:c r="L8" s="99"/>
      <x:c r="M8" s="99"/>
    </x:row>
    <x:row r="9">
      <x:c r="A9" s="231" t="str">
        <x:v>Total current assets incl. held for sale</x:v>
      </x:c>
      <x:c r="B9" s="239" t="n">
        <x:v>2759.4</x:v>
      </x:c>
      <x:c r="C9" s="239" t="n">
        <x:v>2522</x:v>
      </x:c>
      <x:c r="D9" s="239" t="n">
        <x:v>3113.1</x:v>
      </x:c>
      <x:c r="E9" s="99"/>
      <x:c r="F9" s="99"/>
      <x:c r="G9" s="99"/>
      <x:c r="H9" s="99"/>
      <x:c r="I9" s="99"/>
      <x:c r="J9" s="99"/>
      <x:c r="K9" s="99"/>
      <x:c r="L9" s="99"/>
      <x:c r="M9" s="99"/>
    </x:row>
    <x:row r="10">
      <x:c r="A10" s="233" t="str">
        <x:v>Inventories</x:v>
      </x:c>
      <x:c r="B10" s="234" t="n">
        <x:v>1334.3</x:v>
      </x:c>
      <x:c r="C10" s="234" t="n">
        <x:v>1325.9</x:v>
      </x:c>
      <x:c r="D10" s="234" t="n">
        <x:v>1383.6</x:v>
      </x:c>
      <x:c r="E10" s="99"/>
      <x:c r="F10" s="99"/>
      <x:c r="G10" s="99"/>
      <x:c r="H10" s="99"/>
      <x:c r="I10" s="99"/>
      <x:c r="J10" s="99"/>
      <x:c r="K10" s="99"/>
      <x:c r="L10" s="99"/>
      <x:c r="M10" s="99"/>
    </x:row>
    <x:row r="11">
      <x:c r="A11" s="235" t="str">
        <x:v>Trade/other receivables &amp; derivatives</x:v>
      </x:c>
      <x:c r="B11" s="236" t="n">
        <x:v>307.6</x:v>
      </x:c>
      <x:c r="C11" s="236" t="n">
        <x:v>329.7</x:v>
      </x:c>
      <x:c r="D11" s="236" t="n">
        <x:v>331.7</x:v>
      </x:c>
      <x:c r="E11" s="99"/>
      <x:c r="F11" s="99"/>
      <x:c r="G11" s="99"/>
      <x:c r="H11" s="99"/>
      <x:c r="I11" s="99"/>
      <x:c r="J11" s="99"/>
      <x:c r="K11" s="99"/>
      <x:c r="L11" s="99"/>
      <x:c r="M11" s="99"/>
    </x:row>
    <x:row r="12">
      <x:c r="A12" s="233" t="str">
        <x:v>Cash and cash equivalents</x:v>
      </x:c>
      <x:c r="B12" s="234" t="n">
        <x:v>1027.7</x:v>
      </x:c>
      <x:c r="C12" s="234" t="n">
        <x:v>823.5</x:v>
      </x:c>
      <x:c r="D12" s="234" t="n">
        <x:v>1339</x:v>
      </x:c>
      <x:c r="E12" s="99"/>
      <x:c r="F12" s="99"/>
      <x:c r="G12" s="99"/>
      <x:c r="H12" s="99"/>
      <x:c r="I12" s="99"/>
      <x:c r="J12" s="99"/>
      <x:c r="K12" s="99"/>
      <x:c r="L12" s="99"/>
      <x:c r="M12" s="99"/>
    </x:row>
    <x:row r="13">
      <x:c r="A13" s="231" t="str">
        <x:v>Total assets</x:v>
      </x:c>
      <x:c r="B13" s="239" t="n">
        <x:v>19288.9</x:v>
      </x:c>
      <x:c r="C13" s="239" t="n">
        <x:v>18445.6</x:v>
      </x:c>
      <x:c r="D13" s="239" t="n">
        <x:v>18336.4</x:v>
      </x:c>
      <x:c r="E13" s="99"/>
      <x:c r="F13" s="99"/>
      <x:c r="G13" s="99"/>
      <x:c r="H13" s="99"/>
      <x:c r="I13" s="99"/>
      <x:c r="J13" s="99"/>
      <x:c r="K13" s="99"/>
      <x:c r="L13" s="99"/>
      <x:c r="M13" s="99"/>
    </x:row>
    <x:row r="14">
      <x:c r="A14" s="237" t="str">
        <x:v>Total equity</x:v>
      </x:c>
      <x:c r="B14" s="238" t="n">
        <x:v>3924.8</x:v>
      </x:c>
      <x:c r="C14" s="238" t="n">
        <x:v>3465.1</x:v>
      </x:c>
      <x:c r="D14" s="238" t="n">
        <x:v>2712.4</x:v>
      </x:c>
      <x:c r="E14" s="99"/>
      <x:c r="F14" s="99"/>
      <x:c r="G14" s="99"/>
      <x:c r="H14" s="99"/>
      <x:c r="I14" s="99"/>
      <x:c r="J14" s="99"/>
      <x:c r="K14" s="99"/>
      <x:c r="L14" s="99"/>
      <x:c r="M14" s="99"/>
    </x:row>
    <x:row r="15">
      <x:c r="A15" s="235" t="str">
        <x:v>Non current borrowings</x:v>
      </x:c>
      <x:c r="B15" s="236" t="n">
        <x:v>5140.5</x:v>
      </x:c>
      <x:c r="C15" s="236" t="n">
        <x:v>4897</x:v>
      </x:c>
      <x:c r="D15" s="236" t="n">
        <x:v>4785.6</x:v>
      </x:c>
      <x:c r="E15" s="99"/>
      <x:c r="F15" s="99"/>
      <x:c r="G15" s="99"/>
      <x:c r="H15" s="99"/>
      <x:c r="I15" s="99"/>
      <x:c r="J15" s="99"/>
      <x:c r="K15" s="99"/>
      <x:c r="L15" s="99"/>
      <x:c r="M15" s="99"/>
    </x:row>
    <x:row r="16">
      <x:c r="A16" s="233" t="str">
        <x:v>Current borrowings</x:v>
      </x:c>
      <x:c r="B16" s="234" t="n">
        <x:v>22.7</x:v>
      </x:c>
      <x:c r="C16" s="234" t="n">
        <x:v>7.4</x:v>
      </x:c>
      <x:c r="D16" s="234" t="n">
        <x:v>3.4</x:v>
      </x:c>
      <x:c r="E16" s="99"/>
      <x:c r="F16" s="99"/>
      <x:c r="G16" s="99"/>
      <x:c r="H16" s="99"/>
      <x:c r="I16" s="99"/>
      <x:c r="J16" s="99"/>
      <x:c r="K16" s="99"/>
      <x:c r="L16" s="99"/>
      <x:c r="M16" s="99"/>
    </x:row>
    <x:row r="17">
      <x:c r="A17" s="235" t="str">
        <x:v>Non current lease liabilities</x:v>
      </x:c>
      <x:c r="B17" s="236" t="n">
        <x:v>3651.2</x:v>
      </x:c>
      <x:c r="C17" s="236" t="n">
        <x:v>3640.5</x:v>
      </x:c>
      <x:c r="D17" s="236" t="n">
        <x:v>4038</x:v>
      </x:c>
      <x:c r="E17" s="99"/>
      <x:c r="F17" s="99"/>
      <x:c r="G17" s="99"/>
      <x:c r="H17" s="99"/>
      <x:c r="I17" s="99"/>
      <x:c r="J17" s="99"/>
      <x:c r="K17" s="99"/>
      <x:c r="L17" s="99"/>
      <x:c r="M17" s="99"/>
    </x:row>
    <x:row r="18">
      <x:c r="A18" s="233" t="str">
        <x:v>Current lease liabilities</x:v>
      </x:c>
      <x:c r="B18" s="234" t="n">
        <x:v>139</x:v>
      </x:c>
      <x:c r="C18" s="234" t="n">
        <x:v>152.3</x:v>
      </x:c>
      <x:c r="D18" s="234" t="n">
        <x:v>145.3</x:v>
      </x:c>
      <x:c r="E18" s="99"/>
      <x:c r="F18" s="99"/>
      <x:c r="G18" s="99"/>
      <x:c r="H18" s="99"/>
      <x:c r="I18" s="99"/>
      <x:c r="J18" s="99"/>
      <x:c r="K18" s="99"/>
      <x:c r="L18" s="99"/>
      <x:c r="M18" s="99"/>
    </x:row>
    <x:row r="19">
      <x:c r="A19" s="235" t="str">
        <x:v>Shareholder loan</x:v>
      </x:c>
      <x:c r="B19" s="236" t="n">
        <x:v>409.1</x:v>
      </x:c>
      <x:c r="C19" s="236" t="n">
        <x:v>457.2</x:v>
      </x:c>
      <x:c r="D19" s="236" t="n">
        <x:v>510.7</x:v>
      </x:c>
      <x:c r="E19" s="99"/>
      <x:c r="F19" s="99"/>
      <x:c r="G19" s="99"/>
      <x:c r="H19" s="99"/>
      <x:c r="I19" s="99"/>
      <x:c r="J19" s="99"/>
      <x:c r="K19" s="99"/>
      <x:c r="L19" s="99"/>
      <x:c r="M19" s="99"/>
    </x:row>
    <x:row r="20">
      <x:c r="A20" s="233" t="str">
        <x:v>Current liabilities</x:v>
      </x:c>
      <x:c r="B20" s="234" t="n">
        <x:v>4818.5</x:v>
      </x:c>
      <x:c r="C20" s="234" t="n">
        <x:v>4747.3</x:v>
      </x:c>
      <x:c r="D20" s="234" t="n">
        <x:v>5313.4</x:v>
      </x:c>
      <x:c r="E20" s="99"/>
      <x:c r="F20" s="99"/>
      <x:c r="G20" s="99"/>
      <x:c r="H20" s="99"/>
      <x:c r="I20" s="99"/>
      <x:c r="J20" s="99"/>
      <x:c r="K20" s="99"/>
      <x:c r="L20" s="99"/>
      <x:c r="M20" s="99"/>
    </x:row>
    <x:row r="21">
      <x:c r="A21" s="235" t="str">
        <x:v>Liabilities held for sale</x:v>
      </x:c>
      <x:c r="B21" s="236" t="n">
        <x:v>15.3</x:v>
      </x:c>
      <x:c r="C21" s="236" t="n">
        <x:v>0</x:v>
      </x:c>
      <x:c r="D21" s="236" t="n">
        <x:v>0</x:v>
      </x:c>
      <x:c r="E21" s="99"/>
      <x:c r="F21" s="99"/>
      <x:c r="G21" s="99"/>
      <x:c r="H21" s="99"/>
      <x:c r="I21" s="99"/>
      <x:c r="J21" s="99"/>
      <x:c r="K21" s="99"/>
      <x:c r="L21" s="99"/>
      <x:c r="M21" s="99"/>
    </x:row>
    <x:row r="22">
      <x:c r="A22" s="237" t="str">
        <x:v>Total current liabilities incl. held for sale</x:v>
      </x:c>
      <x:c r="B22" s="238" t="n">
        <x:v>4833.8</x:v>
      </x:c>
      <x:c r="C22" s="238" t="n">
        <x:v>4747.3</x:v>
      </x:c>
      <x:c r="D22" s="238" t="n">
        <x:v>5313.4</x:v>
      </x:c>
      <x:c r="E22" s="99"/>
      <x:c r="F22" s="99"/>
      <x:c r="G22" s="99"/>
      <x:c r="H22" s="99"/>
      <x:c r="I22" s="99"/>
      <x:c r="J22" s="99"/>
      <x:c r="K22" s="99"/>
      <x:c r="L22" s="99"/>
      <x:c r="M22" s="99"/>
    </x:row>
    <x:row r="23">
      <x:c r="A23" s="231" t="str">
        <x:v>Total liabilities</x:v>
      </x:c>
      <x:c r="B23" s="239" t="n">
        <x:v>15364.1</x:v>
      </x:c>
      <x:c r="C23" s="239" t="n">
        <x:v>14980.5</x:v>
      </x:c>
      <x:c r="D23" s="239" t="n">
        <x:v>15624</x:v>
      </x:c>
      <x:c r="E23" s="99"/>
      <x:c r="F23" s="99"/>
      <x:c r="G23" s="99"/>
      <x:c r="H23" s="99"/>
      <x:c r="I23" s="99"/>
      <x:c r="J23" s="99"/>
      <x:c r="K23" s="99"/>
      <x:c r="L23" s="99"/>
      <x:c r="M23" s="99"/>
    </x:row>
    <x:row r="24">
      <x:c r="A24" s="99"/>
      <x:c r="B24" s="99"/>
      <x:c r="C24" s="99"/>
      <x:c r="D24" s="99"/>
      <x:c r="E24" s="99"/>
      <x:c r="F24" s="99"/>
      <x:c r="G24" s="99"/>
      <x:c r="H24" s="99"/>
      <x:c r="I24" s="99"/>
      <x:c r="J24" s="99"/>
      <x:c r="K24" s="99"/>
      <x:c r="L24" s="99"/>
      <x:c r="M24" s="99"/>
    </x:row>
    <x:row r="25">
      <x:c r="A25" s="99"/>
      <x:c r="B25" s="99"/>
      <x:c r="C25" s="99"/>
      <x:c r="D25" s="99"/>
      <x:c r="E25" s="99"/>
      <x:c r="F25" s="99"/>
      <x:c r="G25" s="99"/>
      <x:c r="H25" s="99"/>
      <x:c r="I25" s="99"/>
      <x:c r="J25" s="99"/>
      <x:c r="K25" s="99"/>
      <x:c r="L25" s="99"/>
      <x:c r="M25" s="99"/>
    </x:row>
    <x:row r="26">
      <x:c r="A26" s="99"/>
      <x:c r="B26" s="99"/>
      <x:c r="C26" s="99"/>
      <x:c r="D26" s="99"/>
      <x:c r="E26" s="99"/>
      <x:c r="F26" s="99"/>
      <x:c r="G26" s="99"/>
      <x:c r="H26" s="99"/>
      <x:c r="I26" s="99"/>
      <x:c r="J26" s="99"/>
      <x:c r="K26" s="99"/>
      <x:c r="L26" s="99"/>
      <x:c r="M26" s="99"/>
    </x:row>
    <x:row r="27">
      <x:c r="A27" s="99"/>
      <x:c r="B27" s="99"/>
      <x:c r="C27" s="99"/>
      <x:c r="D27" s="99"/>
      <x:c r="E27" s="99"/>
      <x:c r="F27" s="99"/>
      <x:c r="G27" s="99"/>
      <x:c r="H27" s="99"/>
      <x:c r="I27" s="99"/>
      <x:c r="J27" s="99"/>
      <x:c r="K27" s="99"/>
      <x:c r="L27" s="99"/>
      <x:c r="M27" s="99"/>
    </x:row>
    <x:row r="28">
      <x:c r="A28" s="99"/>
      <x:c r="B28" s="99"/>
      <x:c r="C28" s="99"/>
      <x:c r="D28" s="99"/>
      <x:c r="E28" s="99"/>
      <x:c r="F28" s="99"/>
      <x:c r="G28" s="99"/>
      <x:c r="H28" s="99"/>
      <x:c r="I28" s="99"/>
      <x:c r="J28" s="99"/>
      <x:c r="K28" s="99"/>
      <x:c r="L28" s="99"/>
      <x:c r="M28" s="99"/>
    </x:row>
    <x:row r="29">
      <x:c r="A29" s="99"/>
      <x:c r="B29" s="99"/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  <x:c r="M29" s="99"/>
    </x:row>
    <x:row r="30">
      <x:c r="A30" s="99"/>
      <x:c r="B30" s="99"/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  <x:c r="M30" s="99"/>
    </x:row>
    <x:row r="31">
      <x:c r="A31" s="99"/>
      <x:c r="B31" s="99"/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  <x:c r="M31" s="99"/>
    </x:row>
    <x:row r="32">
      <x:c r="A32" s="99"/>
      <x:c r="B32" s="99"/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  <x:c r="M32" s="99"/>
    </x:row>
    <x:row r="33">
      <x:c r="A33" s="99"/>
      <x:c r="B33" s="99"/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  <x:c r="M33" s="99"/>
    </x:row>
    <x:row r="34">
      <x:c r="A34" s="99"/>
      <x:c r="B34" s="99"/>
      <x:c r="C34" s="99"/>
      <x:c r="D34" s="99"/>
      <x:c r="E34" s="99"/>
      <x:c r="F34" s="99"/>
      <x:c r="G34" s="99"/>
      <x:c r="H34" s="99"/>
      <x:c r="I34" s="99"/>
      <x:c r="J34" s="99"/>
      <x:c r="K34" s="99"/>
      <x:c r="L34" s="99"/>
      <x:c r="M34" s="99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</x:row>
    <x:row r="38">
      <x:c r="A38" s="99"/>
      <x:c r="B38" s="99"/>
      <x:c r="C38" s="99"/>
      <x:c r="D38" s="99"/>
      <x:c r="E38" s="99"/>
      <x:c r="F38" s="99"/>
      <x:c r="G38" s="99"/>
      <x:c r="H38" s="99"/>
      <x:c r="I38" s="99"/>
      <x:c r="J38" s="99"/>
      <x:c r="K38" s="99"/>
      <x:c r="L38" s="99"/>
      <x:c r="M38" s="99"/>
    </x:row>
    <x:row r="39">
      <x:c r="A39" s="99"/>
      <x:c r="B39" s="99"/>
      <x:c r="C39" s="99"/>
      <x:c r="D39" s="99"/>
      <x:c r="E39" s="99"/>
      <x:c r="F39" s="99"/>
      <x:c r="G39" s="99"/>
      <x:c r="H39" s="99"/>
      <x:c r="I39" s="99"/>
      <x:c r="J39" s="99"/>
      <x:c r="K39" s="99"/>
      <x:c r="L39" s="99"/>
      <x:c r="M39" s="99"/>
    </x:row>
    <x:row r="40">
      <x:c r="A40" s="99"/>
      <x:c r="B40" s="99"/>
      <x:c r="C40" s="99"/>
      <x:c r="D40" s="99"/>
      <x:c r="E40" s="99"/>
      <x:c r="F40" s="99"/>
      <x:c r="G40" s="99"/>
      <x:c r="H40" s="99"/>
      <x:c r="I40" s="99"/>
      <x:c r="J40" s="99"/>
      <x:c r="K40" s="99"/>
      <x:c r="L40" s="99"/>
      <x:c r="M40" s="99"/>
    </x:row>
  </x:sheetData>
  <x:mergeCells>
    <x:mergeCell ref="A1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4" customHeight="1">
      <x:c r="A1" s="229" t="str">
        <x:v>Asda Group Limited</x:v>
      </x:c>
      <x:c r="B1" s="229"/>
      <x:c r="C1" s="229"/>
      <x:c r="D1" s="22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4" customHeight="1">
      <x:c r="A2" s="229"/>
      <x:c r="B2" s="229"/>
      <x:c r="C2" s="229"/>
      <x:c r="D2" s="229"/>
      <x:c r="E2" s="99"/>
      <x:c r="F2" s="99"/>
      <x:c r="G2" s="99"/>
      <x:c r="H2" s="99"/>
      <x:c r="I2" s="99"/>
      <x:c r="J2" s="99"/>
      <x:c r="K2" s="99"/>
      <x:c r="L2" s="99"/>
      <x:c r="M2" s="99"/>
    </x:row>
    <x:row r="3" ht="24" customHeight="1">
      <x:c r="A3" s="229" t="str">
        <x:v>Cash Flow Statement | FY2023 to FY2025</x:v>
      </x:c>
      <x:c r="B3" s="229"/>
      <x:c r="C3" s="229"/>
      <x:c r="D3" s="229"/>
      <x:c r="E3" s="99"/>
      <x:c r="F3" s="99"/>
      <x:c r="G3" s="99"/>
      <x:c r="H3" s="99"/>
      <x:c r="I3" s="99"/>
      <x:c r="J3" s="99"/>
      <x:c r="K3" s="99"/>
      <x:c r="L3" s="99"/>
      <x:c r="M3" s="99"/>
    </x:row>
    <x:row r="4">
      <x:c r="A4" s="230"/>
      <x:c r="B4" s="230"/>
      <x:c r="C4" s="230"/>
      <x:c r="D4" s="230"/>
      <x:c r="E4" s="99"/>
      <x:c r="F4" s="99"/>
      <x:c r="G4" s="99"/>
      <x:c r="H4" s="99"/>
      <x:c r="I4" s="99"/>
      <x:c r="J4" s="99"/>
      <x:c r="K4" s="99"/>
      <x:c r="L4" s="99"/>
      <x:c r="M4" s="99"/>
    </x:row>
    <x:row r="5">
      <x:c r="A5" s="231" t="str">
        <x:v>£m</x:v>
      </x:c>
      <x:c r="B5" s="232" t="str">
        <x:v>FY2023</x:v>
      </x:c>
      <x:c r="C5" s="232" t="str">
        <x:v>FY2024</x:v>
      </x:c>
      <x:c r="D5" s="232" t="str">
        <x:v>FY2025</x:v>
      </x:c>
      <x:c r="E5" s="99"/>
      <x:c r="F5" s="99"/>
      <x:c r="G5" s="99"/>
      <x:c r="H5" s="99"/>
      <x:c r="I5" s="99"/>
      <x:c r="J5" s="99"/>
      <x:c r="K5" s="99"/>
      <x:c r="L5" s="99"/>
      <x:c r="M5" s="99"/>
    </x:row>
    <x:row r="6">
      <x:c r="A6" s="233" t="str">
        <x:v>Net cash flow from operating activities</x:v>
      </x:c>
      <x:c r="B6" s="234" t="n">
        <x:v>1245.8</x:v>
      </x:c>
      <x:c r="C6" s="234" t="n">
        <x:v>991.1</x:v>
      </x:c>
      <x:c r="D6" s="234" t="n">
        <x:v>1235.2</x:v>
      </x:c>
      <x:c r="E6" s="99"/>
      <x:c r="F6" s="99"/>
      <x:c r="G6" s="99"/>
      <x:c r="H6" s="99"/>
      <x:c r="I6" s="99"/>
      <x:c r="J6" s="99"/>
      <x:c r="K6" s="99"/>
      <x:c r="L6" s="99"/>
      <x:c r="M6" s="99"/>
    </x:row>
    <x:row r="7">
      <x:c r="A7" s="235" t="str">
        <x:v>Net cash flows from investing activities</x:v>
      </x:c>
      <x:c r="B7" s="236" t="n">
        <x:v>-2073.7</x:v>
      </x:c>
      <x:c r="C7" s="236" t="n">
        <x:v>-311.3</x:v>
      </x:c>
      <x:c r="D7" s="236" t="n">
        <x:v>-191.4</x:v>
      </x:c>
      <x:c r="E7" s="99"/>
      <x:c r="F7" s="99"/>
      <x:c r="G7" s="99"/>
      <x:c r="H7" s="99"/>
      <x:c r="I7" s="99"/>
      <x:c r="J7" s="99"/>
      <x:c r="K7" s="99"/>
      <x:c r="L7" s="99"/>
      <x:c r="M7" s="99"/>
    </x:row>
    <x:row r="8">
      <x:c r="A8" s="233" t="str">
        <x:v>Net cash flows from financing activities</x:v>
      </x:c>
      <x:c r="B8" s="234" t="n">
        <x:v>1193.1</x:v>
      </x:c>
      <x:c r="C8" s="234" t="n">
        <x:v>-884</x:v>
      </x:c>
      <x:c r="D8" s="234" t="n">
        <x:v>-528.3</x:v>
      </x:c>
      <x:c r="E8" s="99"/>
      <x:c r="F8" s="99"/>
      <x:c r="G8" s="99"/>
      <x:c r="H8" s="99"/>
      <x:c r="I8" s="99"/>
      <x:c r="J8" s="99"/>
      <x:c r="K8" s="99"/>
      <x:c r="L8" s="99"/>
      <x:c r="M8" s="99"/>
    </x:row>
    <x:row r="9">
      <x:c r="A9" s="235" t="str">
        <x:v>Purchase of PPE</x:v>
      </x:c>
      <x:c r="B9" s="236" t="n">
        <x:v>-279.7</x:v>
      </x:c>
      <x:c r="C9" s="236" t="n">
        <x:v>-281.3</x:v>
      </x:c>
      <x:c r="D9" s="236" t="n">
        <x:v>-200.1</x:v>
      </x:c>
      <x:c r="E9" s="99"/>
      <x:c r="F9" s="99"/>
      <x:c r="G9" s="99"/>
      <x:c r="H9" s="99"/>
      <x:c r="I9" s="99"/>
      <x:c r="J9" s="99"/>
      <x:c r="K9" s="99"/>
      <x:c r="L9" s="99"/>
      <x:c r="M9" s="99"/>
    </x:row>
    <x:row r="10">
      <x:c r="A10" s="233" t="str">
        <x:v>Purchase of intangible assets</x:v>
      </x:c>
      <x:c r="B10" s="234" t="n">
        <x:v>-57.3</x:v>
      </x:c>
      <x:c r="C10" s="234" t="n">
        <x:v>-98.4</x:v>
      </x:c>
      <x:c r="D10" s="234" t="n">
        <x:v>-92.8</x:v>
      </x:c>
      <x:c r="E10" s="99"/>
      <x:c r="F10" s="99"/>
      <x:c r="G10" s="99"/>
      <x:c r="H10" s="99"/>
      <x:c r="I10" s="99"/>
      <x:c r="J10" s="99"/>
      <x:c r="K10" s="99"/>
      <x:c r="L10" s="99"/>
      <x:c r="M10" s="99"/>
    </x:row>
    <x:row r="11">
      <x:c r="A11" s="235" t="str">
        <x:v>Simplified free cash flow</x:v>
      </x:c>
      <x:c r="B11" s="236" t="n">
        <x:v>908.8</x:v>
      </x:c>
      <x:c r="C11" s="236" t="n">
        <x:v>611.4</x:v>
      </x:c>
      <x:c r="D11" s="236" t="n">
        <x:v>942.3</x:v>
      </x:c>
      <x:c r="E11" s="99"/>
      <x:c r="F11" s="99"/>
      <x:c r="G11" s="99"/>
      <x:c r="H11" s="99"/>
      <x:c r="I11" s="99"/>
      <x:c r="J11" s="99"/>
      <x:c r="K11" s="99"/>
      <x:c r="L11" s="99"/>
      <x:c r="M11" s="99"/>
    </x:row>
    <x:row r="12">
      <x:c r="A12" s="233" t="str">
        <x:v>Net increase/(decrease) in cash</x:v>
      </x:c>
      <x:c r="B12" s="234" t="n">
        <x:v>365.2</x:v>
      </x:c>
      <x:c r="C12" s="234" t="n">
        <x:v>-204.2</x:v>
      </x:c>
      <x:c r="D12" s="234" t="n">
        <x:v>515.5</x:v>
      </x:c>
      <x:c r="E12" s="99"/>
      <x:c r="F12" s="99"/>
      <x:c r="G12" s="99"/>
      <x:c r="H12" s="99"/>
      <x:c r="I12" s="99"/>
      <x:c r="J12" s="99"/>
      <x:c r="K12" s="99"/>
      <x:c r="L12" s="99"/>
      <x:c r="M12" s="99"/>
    </x:row>
    <x:row r="13">
      <x:c r="A13" s="235" t="str">
        <x:v>Ending cash and cash equivalents</x:v>
      </x:c>
      <x:c r="B13" s="236" t="n">
        <x:v>1027.7</x:v>
      </x:c>
      <x:c r="C13" s="236" t="n">
        <x:v>823.5</x:v>
      </x:c>
      <x:c r="D13" s="236" t="n">
        <x:v>1339</x:v>
      </x:c>
      <x:c r="E13" s="99"/>
      <x:c r="F13" s="99"/>
      <x:c r="G13" s="99"/>
      <x:c r="H13" s="99"/>
      <x:c r="I13" s="99"/>
      <x:c r="J13" s="99"/>
      <x:c r="K13" s="99"/>
      <x:c r="L13" s="99"/>
      <x:c r="M13" s="99"/>
    </x:row>
    <x:row r="14">
      <x:c r="A14" s="99"/>
      <x:c r="B14" s="99"/>
      <x:c r="C14" s="99"/>
      <x:c r="D14" s="99"/>
      <x:c r="E14" s="99"/>
      <x:c r="F14" s="99"/>
      <x:c r="G14" s="99"/>
      <x:c r="H14" s="99"/>
      <x:c r="I14" s="99"/>
      <x:c r="J14" s="99"/>
      <x:c r="K14" s="99"/>
      <x:c r="L14" s="99"/>
      <x:c r="M14" s="99"/>
    </x:row>
    <x:row r="15">
      <x:c r="A15" s="99"/>
      <x:c r="B15" s="99"/>
      <x:c r="C15" s="99"/>
      <x:c r="D15" s="99"/>
      <x:c r="E15" s="99"/>
      <x:c r="F15" s="99"/>
      <x:c r="G15" s="99"/>
      <x:c r="H15" s="99"/>
      <x:c r="I15" s="99"/>
      <x:c r="J15" s="99"/>
      <x:c r="K15" s="99"/>
      <x:c r="L15" s="99"/>
      <x:c r="M15" s="99"/>
    </x:row>
    <x:row r="16">
      <x:c r="A16" s="99"/>
      <x:c r="B16" s="99"/>
      <x:c r="C16" s="99"/>
      <x:c r="D16" s="99"/>
      <x:c r="E16" s="99"/>
      <x:c r="F16" s="99"/>
      <x:c r="G16" s="99"/>
      <x:c r="H16" s="99"/>
      <x:c r="I16" s="99"/>
      <x:c r="J16" s="99"/>
      <x:c r="K16" s="99"/>
      <x:c r="L16" s="99"/>
      <x:c r="M16" s="99"/>
    </x:row>
    <x:row r="17">
      <x:c r="A17" s="99"/>
      <x:c r="B17" s="99"/>
      <x:c r="C17" s="99"/>
      <x:c r="D17" s="99"/>
      <x:c r="E17" s="99"/>
      <x:c r="F17" s="99"/>
      <x:c r="G17" s="99"/>
      <x:c r="H17" s="99"/>
      <x:c r="I17" s="99"/>
      <x:c r="J17" s="99"/>
      <x:c r="K17" s="99"/>
      <x:c r="L17" s="99"/>
      <x:c r="M17" s="99"/>
    </x:row>
    <x:row r="18">
      <x:c r="A18" s="99"/>
      <x:c r="B18" s="99"/>
      <x:c r="C18" s="99"/>
      <x:c r="D18" s="99"/>
      <x:c r="E18" s="99"/>
      <x:c r="F18" s="99"/>
      <x:c r="G18" s="99"/>
      <x:c r="H18" s="99"/>
      <x:c r="I18" s="99"/>
      <x:c r="J18" s="99"/>
      <x:c r="K18" s="99"/>
      <x:c r="L18" s="99"/>
      <x:c r="M18" s="99"/>
    </x:row>
    <x:row r="19">
      <x:c r="A19" s="99"/>
      <x:c r="B19" s="99"/>
      <x:c r="C19" s="99"/>
      <x:c r="D19" s="99"/>
      <x:c r="E19" s="99"/>
      <x:c r="F19" s="99"/>
      <x:c r="G19" s="99"/>
      <x:c r="H19" s="99"/>
      <x:c r="I19" s="99"/>
      <x:c r="J19" s="99"/>
      <x:c r="K19" s="99"/>
      <x:c r="L19" s="99"/>
      <x:c r="M19" s="99"/>
    </x:row>
    <x:row r="20">
      <x:c r="A20" s="99"/>
      <x:c r="B20" s="99"/>
      <x:c r="C20" s="99"/>
      <x:c r="D20" s="99"/>
      <x:c r="E20" s="99"/>
      <x:c r="F20" s="99"/>
      <x:c r="G20" s="99"/>
      <x:c r="H20" s="99"/>
      <x:c r="I20" s="99"/>
      <x:c r="J20" s="99"/>
      <x:c r="K20" s="99"/>
      <x:c r="L20" s="99"/>
      <x:c r="M20" s="99"/>
    </x:row>
    <x:row r="21">
      <x:c r="A21" s="99"/>
      <x:c r="B21" s="99"/>
      <x:c r="C21" s="99"/>
      <x:c r="D21" s="99"/>
      <x:c r="E21" s="99"/>
      <x:c r="F21" s="99"/>
      <x:c r="G21" s="99"/>
      <x:c r="H21" s="99"/>
      <x:c r="I21" s="99"/>
      <x:c r="J21" s="99"/>
      <x:c r="K21" s="99"/>
      <x:c r="L21" s="99"/>
      <x:c r="M21" s="99"/>
    </x:row>
    <x:row r="22">
      <x:c r="A22" s="99"/>
      <x:c r="B22" s="99"/>
      <x:c r="C22" s="99"/>
      <x:c r="D22" s="99"/>
      <x:c r="E22" s="99"/>
      <x:c r="F22" s="99"/>
      <x:c r="G22" s="99"/>
      <x:c r="H22" s="99"/>
      <x:c r="I22" s="99"/>
      <x:c r="J22" s="99"/>
      <x:c r="K22" s="99"/>
      <x:c r="L22" s="99"/>
      <x:c r="M22" s="99"/>
    </x:row>
    <x:row r="23">
      <x:c r="A23" s="99"/>
      <x:c r="B23" s="99"/>
      <x:c r="C23" s="99"/>
      <x:c r="D23" s="99"/>
      <x:c r="E23" s="99"/>
      <x:c r="F23" s="99"/>
      <x:c r="G23" s="99"/>
      <x:c r="H23" s="99"/>
      <x:c r="I23" s="99"/>
      <x:c r="J23" s="99"/>
      <x:c r="K23" s="99"/>
      <x:c r="L23" s="99"/>
      <x:c r="M23" s="99"/>
    </x:row>
    <x:row r="24">
      <x:c r="A24" s="99"/>
      <x:c r="B24" s="99"/>
      <x:c r="C24" s="99"/>
      <x:c r="D24" s="99"/>
      <x:c r="E24" s="99"/>
      <x:c r="F24" s="99"/>
      <x:c r="G24" s="99"/>
      <x:c r="H24" s="99"/>
      <x:c r="I24" s="99"/>
      <x:c r="J24" s="99"/>
      <x:c r="K24" s="99"/>
      <x:c r="L24" s="99"/>
      <x:c r="M24" s="99"/>
    </x:row>
    <x:row r="25">
      <x:c r="A25" s="99"/>
      <x:c r="B25" s="99"/>
      <x:c r="C25" s="99"/>
      <x:c r="D25" s="99"/>
      <x:c r="E25" s="99"/>
      <x:c r="F25" s="99"/>
      <x:c r="G25" s="99"/>
      <x:c r="H25" s="99"/>
      <x:c r="I25" s="99"/>
      <x:c r="J25" s="99"/>
      <x:c r="K25" s="99"/>
      <x:c r="L25" s="99"/>
      <x:c r="M25" s="99"/>
    </x:row>
    <x:row r="26">
      <x:c r="A26" s="99"/>
      <x:c r="B26" s="99"/>
      <x:c r="C26" s="99"/>
      <x:c r="D26" s="99"/>
      <x:c r="E26" s="99"/>
      <x:c r="F26" s="99"/>
      <x:c r="G26" s="99"/>
      <x:c r="H26" s="99"/>
      <x:c r="I26" s="99"/>
      <x:c r="J26" s="99"/>
      <x:c r="K26" s="99"/>
      <x:c r="L26" s="99"/>
      <x:c r="M26" s="99"/>
    </x:row>
    <x:row r="27">
      <x:c r="A27" s="99"/>
      <x:c r="B27" s="99"/>
      <x:c r="C27" s="99"/>
      <x:c r="D27" s="99"/>
      <x:c r="E27" s="99"/>
      <x:c r="F27" s="99"/>
      <x:c r="G27" s="99"/>
      <x:c r="H27" s="99"/>
      <x:c r="I27" s="99"/>
      <x:c r="J27" s="99"/>
      <x:c r="K27" s="99"/>
      <x:c r="L27" s="99"/>
      <x:c r="M27" s="99"/>
    </x:row>
    <x:row r="28">
      <x:c r="A28" s="99"/>
      <x:c r="B28" s="99"/>
      <x:c r="C28" s="99"/>
      <x:c r="D28" s="99"/>
      <x:c r="E28" s="99"/>
      <x:c r="F28" s="99"/>
      <x:c r="G28" s="99"/>
      <x:c r="H28" s="99"/>
      <x:c r="I28" s="99"/>
      <x:c r="J28" s="99"/>
      <x:c r="K28" s="99"/>
      <x:c r="L28" s="99"/>
      <x:c r="M28" s="99"/>
    </x:row>
    <x:row r="29">
      <x:c r="A29" s="99"/>
      <x:c r="B29" s="99"/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  <x:c r="M29" s="99"/>
    </x:row>
    <x:row r="30">
      <x:c r="A30" s="99"/>
      <x:c r="B30" s="99"/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  <x:c r="M30" s="99"/>
    </x:row>
    <x:row r="31">
      <x:c r="A31" s="99"/>
      <x:c r="B31" s="99"/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  <x:c r="M31" s="99"/>
    </x:row>
    <x:row r="32">
      <x:c r="A32" s="99"/>
      <x:c r="B32" s="99"/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  <x:c r="M32" s="99"/>
    </x:row>
    <x:row r="33">
      <x:c r="A33" s="99"/>
      <x:c r="B33" s="99"/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  <x:c r="M33" s="99"/>
    </x:row>
    <x:row r="34">
      <x:c r="A34" s="99"/>
      <x:c r="B34" s="99"/>
      <x:c r="C34" s="99"/>
      <x:c r="D34" s="99"/>
      <x:c r="E34" s="99"/>
      <x:c r="F34" s="99"/>
      <x:c r="G34" s="99"/>
      <x:c r="H34" s="99"/>
      <x:c r="I34" s="99"/>
      <x:c r="J34" s="99"/>
      <x:c r="K34" s="99"/>
      <x:c r="L34" s="99"/>
      <x:c r="M34" s="99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</x:row>
    <x:row r="38">
      <x:c r="A38" s="99"/>
      <x:c r="B38" s="99"/>
      <x:c r="C38" s="99"/>
      <x:c r="D38" s="99"/>
      <x:c r="E38" s="99"/>
      <x:c r="F38" s="99"/>
      <x:c r="G38" s="99"/>
      <x:c r="H38" s="99"/>
      <x:c r="I38" s="99"/>
      <x:c r="J38" s="99"/>
      <x:c r="K38" s="99"/>
      <x:c r="L38" s="99"/>
      <x:c r="M38" s="99"/>
    </x:row>
    <x:row r="39">
      <x:c r="A39" s="99"/>
      <x:c r="B39" s="99"/>
      <x:c r="C39" s="99"/>
      <x:c r="D39" s="99"/>
      <x:c r="E39" s="99"/>
      <x:c r="F39" s="99"/>
      <x:c r="G39" s="99"/>
      <x:c r="H39" s="99"/>
      <x:c r="I39" s="99"/>
      <x:c r="J39" s="99"/>
      <x:c r="K39" s="99"/>
      <x:c r="L39" s="99"/>
      <x:c r="M39" s="99"/>
    </x:row>
    <x:row r="40">
      <x:c r="A40" s="99"/>
      <x:c r="B40" s="99"/>
      <x:c r="C40" s="99"/>
      <x:c r="D40" s="99"/>
      <x:c r="E40" s="99"/>
      <x:c r="F40" s="99"/>
      <x:c r="G40" s="99"/>
      <x:c r="H40" s="99"/>
      <x:c r="I40" s="99"/>
      <x:c r="J40" s="99"/>
      <x:c r="K40" s="99"/>
      <x:c r="L40" s="99"/>
      <x:c r="M40" s="99"/>
    </x:row>
  </x:sheetData>
  <x:mergeCells>
    <x:mergeCell ref="A1:D2"/>
    <x:mergeCell ref="A3:D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4" customHeight="1">
      <x:c r="A1" s="229" t="str">
        <x:v>Asda Group Limited</x:v>
      </x:c>
      <x:c r="B1" s="229"/>
      <x:c r="C1" s="229"/>
      <x:c r="D1" s="22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4" customHeight="1">
      <x:c r="A2" s="229"/>
      <x:c r="B2" s="229"/>
      <x:c r="C2" s="229"/>
      <x:c r="D2" s="229"/>
      <x:c r="E2" s="99"/>
      <x:c r="F2" s="99"/>
      <x:c r="G2" s="99"/>
      <x:c r="H2" s="99"/>
      <x:c r="I2" s="99"/>
      <x:c r="J2" s="99"/>
      <x:c r="K2" s="99"/>
      <x:c r="L2" s="99"/>
      <x:c r="M2" s="99"/>
    </x:row>
    <x:row r="3" ht="24" customHeight="1">
      <x:c r="A3" s="229" t="str">
        <x:v>Financial Ratio Analysis</x:v>
      </x:c>
      <x:c r="B3" s="229"/>
      <x:c r="C3" s="229"/>
      <x:c r="D3" s="229"/>
      <x:c r="E3" s="99"/>
      <x:c r="F3" s="99"/>
      <x:c r="G3" s="99"/>
      <x:c r="H3" s="99"/>
      <x:c r="I3" s="99"/>
      <x:c r="J3" s="99"/>
      <x:c r="K3" s="99"/>
      <x:c r="L3" s="99"/>
      <x:c r="M3" s="99"/>
    </x:row>
    <x:row r="4">
      <x:c r="A4" s="230"/>
      <x:c r="B4" s="230"/>
      <x:c r="C4" s="230"/>
      <x:c r="D4" s="230"/>
      <x:c r="E4" s="99"/>
      <x:c r="F4" s="99"/>
      <x:c r="G4" s="99"/>
      <x:c r="H4" s="99"/>
      <x:c r="I4" s="99"/>
      <x:c r="J4" s="99"/>
      <x:c r="K4" s="99"/>
      <x:c r="L4" s="99"/>
      <x:c r="M4" s="99"/>
    </x:row>
    <x:row r="5">
      <x:c r="A5" s="230"/>
      <x:c r="B5" s="230"/>
      <x:c r="C5" s="230"/>
      <x:c r="D5" s="230"/>
      <x:c r="E5" s="99"/>
      <x:c r="F5" s="99"/>
      <x:c r="G5" s="99"/>
      <x:c r="H5" s="99"/>
      <x:c r="I5" s="99"/>
      <x:c r="J5" s="99"/>
      <x:c r="K5" s="99"/>
      <x:c r="L5" s="99"/>
      <x:c r="M5" s="99"/>
    </x:row>
    <x:row r="6">
      <x:c r="A6" s="240" t="str">
        <x:v>Profitability Ratios</x:v>
      </x:c>
      <x:c r="B6" s="241" t="str">
        <x:v>FY2023</x:v>
      </x:c>
      <x:c r="C6" s="241" t="str">
        <x:v>FY2024</x:v>
      </x:c>
      <x:c r="D6" s="241" t="str">
        <x:v>FY2025</x:v>
      </x:c>
      <x:c r="E6" s="99"/>
      <x:c r="F6" s="99"/>
      <x:c r="G6" s="99"/>
      <x:c r="H6" s="99"/>
      <x:c r="I6" s="99"/>
      <x:c r="J6" s="99"/>
      <x:c r="K6" s="99"/>
      <x:c r="L6" s="99"/>
      <x:c r="M6" s="99"/>
    </x:row>
    <x:row r="7">
      <x:c r="A7" s="230" t="str">
        <x:v>Revenue growth</x:v>
      </x:c>
      <x:c r="B7" s="242" t="str">
        <x:v>-</x:v>
      </x:c>
      <x:c r="C7" s="242" t="n">
        <x:f>('P&amp;L 2023-25'!C6/'P&amp;L 2023-25'!B6)-1</x:f>
        <x:v>0.04800346646159359</x:v>
      </x:c>
      <x:c r="D7" s="242" t="n">
        <x:f>('P&amp;L 2023-25'!D6/'P&amp;L 2023-25'!C6)-1</x:f>
        <x:v>-0.03607905656582211</x:v>
      </x:c>
      <x:c r="E7" s="99"/>
      <x:c r="F7" s="99"/>
      <x:c r="G7" s="99"/>
      <x:c r="H7" s="99"/>
      <x:c r="I7" s="99"/>
      <x:c r="J7" s="99"/>
      <x:c r="K7" s="99"/>
      <x:c r="L7" s="99"/>
      <x:c r="M7" s="99"/>
    </x:row>
    <x:row r="8">
      <x:c r="A8" s="230" t="str">
        <x:v>Gross profit margin</x:v>
      </x:c>
      <x:c r="B8" s="242" t="n">
        <x:f>'P&amp;L 2023-25'!B8/'P&amp;L 2023-25'!B6</x:f>
        <x:v>0.24247274260351562</x:v>
      </x:c>
      <x:c r="C8" s="242" t="n">
        <x:f>'P&amp;L 2023-25'!C8/'P&amp;L 2023-25'!C6</x:f>
        <x:v>0.24290599182019326</x:v>
      </x:c>
      <x:c r="D8" s="242" t="n">
        <x:f>'P&amp;L 2023-25'!D8/'P&amp;L 2023-25'!D6</x:f>
        <x:v>0.23731741247391608</x:v>
      </x:c>
      <x:c r="E8" s="99"/>
      <x:c r="F8" s="99"/>
      <x:c r="G8" s="99"/>
      <x:c r="H8" s="99"/>
      <x:c r="I8" s="99"/>
      <x:c r="J8" s="99"/>
      <x:c r="K8" s="99"/>
      <x:c r="L8" s="99"/>
      <x:c r="M8" s="99"/>
    </x:row>
    <x:row r="9">
      <x:c r="A9" s="230" t="str">
        <x:v>Operating profit margin</x:v>
      </x:c>
      <x:c r="B9" s="242" t="n">
        <x:f>'P&amp;L 2023-25'!B11/'P&amp;L 2023-25'!B6</x:f>
        <x:v>0.02219628448407106</x:v>
      </x:c>
      <x:c r="C9" s="242" t="n">
        <x:f>'P&amp;L 2023-25'!C11/'P&amp;L 2023-25'!C6</x:f>
        <x:v>-0.0016240417781022553</x:v>
      </x:c>
      <x:c r="D9" s="242" t="n">
        <x:f>'P&amp;L 2023-25'!D11/'P&amp;L 2023-25'!D6</x:f>
        <x:v>-0.013579101939871704</x:v>
      </x:c>
      <x:c r="E9" s="99"/>
      <x:c r="F9" s="99"/>
      <x:c r="G9" s="99"/>
      <x:c r="H9" s="99"/>
      <x:c r="I9" s="99"/>
      <x:c r="J9" s="99"/>
      <x:c r="K9" s="99"/>
      <x:c r="L9" s="99"/>
      <x:c r="M9" s="99"/>
    </x:row>
    <x:row r="10">
      <x:c r="A10" s="230" t="str">
        <x:v>Return on Equity</x:v>
      </x:c>
      <x:c r="B10" s="242" t="n">
        <x:f>'P&amp;L 2023-25'!B13/'Balance Sheet 2023-25'!B14</x:f>
        <x:v>0.04955666530778638</x:v>
      </x:c>
      <x:c r="C10" s="242" t="n">
        <x:f>'P&amp;L 2023-25'!C13/'Balance Sheet 2023-25'!C14</x:f>
        <x:v>-0.1406020028282012</x:v>
      </x:c>
      <x:c r="D10" s="242" t="n">
        <x:f>'P&amp;L 2023-25'!D13/'Balance Sheet 2023-25'!D14</x:f>
        <x:v>-0.26404660079634273</x:v>
      </x:c>
      <x:c r="E10" s="99"/>
      <x:c r="F10" s="99"/>
      <x:c r="G10" s="99"/>
      <x:c r="H10" s="99"/>
      <x:c r="I10" s="99"/>
      <x:c r="J10" s="99"/>
      <x:c r="K10" s="99"/>
      <x:c r="L10" s="99"/>
      <x:c r="M10" s="99"/>
    </x:row>
    <x:row r="11">
      <x:c r="A11" s="230" t="str">
        <x:v>ROCE</x:v>
      </x:c>
      <x:c r="B11" s="242" t="n">
        <x:f>'P&amp;L 2023-25'!B11/('Balance Sheet 2023-25'!B14+'Balance Sheet 2023-25'!B15+'Balance Sheet 2023-25'!B16+'Balance Sheet 2023-25'!B17+'Balance Sheet 2023-25'!B18+'Balance Sheet 2023-25'!B19-'Balance Sheet 2023-25'!B12)</x:f>
        <x:v>0.04637997977095501</x:v>
      </x:c>
      <x:c r="C11" s="242" t="n">
        <x:f>'P&amp;L 2023-25'!C11/('Balance Sheet 2023-25'!C14+'Balance Sheet 2023-25'!C15+'Balance Sheet 2023-25'!C16+'Balance Sheet 2023-25'!C17+'Balance Sheet 2023-25'!C18+'Balance Sheet 2023-25'!C19-'Balance Sheet 2023-25'!C12)</x:f>
        <x:v>-0.003696168192607664</x:v>
      </x:c>
      <x:c r="D11" s="242" t="n">
        <x:f>'P&amp;L 2023-25'!D11/('Balance Sheet 2023-25'!D14+'Balance Sheet 2023-25'!D15+'Balance Sheet 2023-25'!D16+'Balance Sheet 2023-25'!D17+'Balance Sheet 2023-25'!D18+'Balance Sheet 2023-25'!D19-'Balance Sheet 2023-25'!D12)</x:f>
        <x:v>-0.032368004126598134</x:v>
      </x:c>
      <x:c r="E11" s="99"/>
      <x:c r="F11" s="99"/>
      <x:c r="G11" s="99"/>
      <x:c r="H11" s="99"/>
      <x:c r="I11" s="99"/>
      <x:c r="J11" s="99"/>
      <x:c r="K11" s="99"/>
      <x:c r="L11" s="99"/>
      <x:c r="M11" s="99"/>
    </x:row>
    <x:row r="12">
      <x:c r="A12" s="230"/>
      <x:c r="B12" s="230"/>
      <x:c r="C12" s="230"/>
      <x:c r="D12" s="230"/>
      <x:c r="E12" s="99"/>
      <x:c r="F12" s="99"/>
      <x:c r="G12" s="99"/>
      <x:c r="H12" s="99"/>
      <x:c r="I12" s="99"/>
      <x:c r="J12" s="99"/>
      <x:c r="K12" s="99"/>
      <x:c r="L12" s="99"/>
      <x:c r="M12" s="99"/>
    </x:row>
    <x:row r="13">
      <x:c r="A13" s="230"/>
      <x:c r="B13" s="230"/>
      <x:c r="C13" s="230"/>
      <x:c r="D13" s="230"/>
      <x:c r="E13" s="99"/>
      <x:c r="F13" s="99"/>
      <x:c r="G13" s="99"/>
      <x:c r="H13" s="99"/>
      <x:c r="I13" s="99"/>
      <x:c r="J13" s="99"/>
      <x:c r="K13" s="99"/>
      <x:c r="L13" s="99"/>
      <x:c r="M13" s="99"/>
    </x:row>
    <x:row r="14">
      <x:c r="A14" s="230"/>
      <x:c r="B14" s="230"/>
      <x:c r="C14" s="230"/>
      <x:c r="D14" s="230"/>
      <x:c r="E14" s="99"/>
      <x:c r="F14" s="99"/>
      <x:c r="G14" s="99"/>
      <x:c r="H14" s="99"/>
      <x:c r="I14" s="99"/>
      <x:c r="J14" s="99"/>
      <x:c r="K14" s="99"/>
      <x:c r="L14" s="99"/>
      <x:c r="M14" s="99"/>
    </x:row>
    <x:row r="15">
      <x:c r="A15" s="240" t="str">
        <x:v>Liquidity &amp; Efficiency Ratios</x:v>
      </x:c>
      <x:c r="B15" s="241" t="str">
        <x:v>FY2023</x:v>
      </x:c>
      <x:c r="C15" s="241" t="str">
        <x:v>FY2024</x:v>
      </x:c>
      <x:c r="D15" s="241" t="str">
        <x:v>FY2025</x:v>
      </x:c>
      <x:c r="E15" s="99"/>
      <x:c r="F15" s="99"/>
      <x:c r="G15" s="99"/>
      <x:c r="H15" s="99"/>
      <x:c r="I15" s="99"/>
      <x:c r="J15" s="99"/>
      <x:c r="K15" s="99"/>
      <x:c r="L15" s="99"/>
      <x:c r="M15" s="99"/>
    </x:row>
    <x:row r="16">
      <x:c r="A16" s="230" t="str">
        <x:v>Current ratio</x:v>
      </x:c>
      <x:c r="B16" s="243" t="n">
        <x:f>'Balance Sheet 2023-25'!B9/'Balance Sheet 2023-25'!B22</x:f>
        <x:v>0.5708552277711118</x:v>
      </x:c>
      <x:c r="C16" s="243" t="n">
        <x:f>'Balance Sheet 2023-25'!C9/'Balance Sheet 2023-25'!C22</x:f>
        <x:v>0.5312493417310892</x:v>
      </x:c>
      <x:c r="D16" s="243" t="n">
        <x:f>'Balance Sheet 2023-25'!D9/'Balance Sheet 2023-25'!D22</x:f>
        <x:v>0.5858960364361803</x:v>
      </x:c>
      <x:c r="E16" s="99"/>
      <x:c r="F16" s="99"/>
      <x:c r="G16" s="99"/>
      <x:c r="H16" s="99"/>
      <x:c r="I16" s="99"/>
      <x:c r="J16" s="99"/>
      <x:c r="K16" s="99"/>
      <x:c r="L16" s="99"/>
      <x:c r="M16" s="99"/>
    </x:row>
    <x:row r="17">
      <x:c r="A17" s="230" t="str">
        <x:v>Quick ratio</x:v>
      </x:c>
      <x:c r="B17" s="243" t="n">
        <x:f>('Balance Sheet 2023-25'!B9-'Balance Sheet 2023-25'!B10)/'Balance Sheet 2023-25'!B22</x:f>
        <x:v>0.2948198105010551</x:v>
      </x:c>
      <x:c r="C17" s="243" t="n">
        <x:f>('Balance Sheet 2023-25'!C9-'Balance Sheet 2023-25'!C10)/'Balance Sheet 2023-25'!C22</x:f>
        <x:v>0.2519537421271038</x:v>
      </x:c>
      <x:c r="D17" s="243" t="n">
        <x:f>('Balance Sheet 2023-25'!D9-'Balance Sheet 2023-25'!D10)/'Balance Sheet 2023-25'!D22</x:f>
        <x:v>0.32549779802010015</x:v>
      </x:c>
      <x:c r="E17" s="99"/>
      <x:c r="F17" s="99"/>
      <x:c r="G17" s="99"/>
      <x:c r="H17" s="99"/>
      <x:c r="I17" s="99"/>
      <x:c r="J17" s="99"/>
      <x:c r="K17" s="99"/>
      <x:c r="L17" s="99"/>
      <x:c r="M17" s="99"/>
    </x:row>
    <x:row r="18">
      <x:c r="A18" s="230" t="str">
        <x:v>Working capital</x:v>
      </x:c>
      <x:c r="B18" s="236" t="n">
        <x:f>'Balance Sheet 2023-25'!B9-'Balance Sheet 2023-25'!B22</x:f>
        <x:v>-2074.4</x:v>
      </x:c>
      <x:c r="C18" s="236" t="n">
        <x:f>'Balance Sheet 2023-25'!C9-'Balance Sheet 2023-25'!C22</x:f>
        <x:v>-2225.3</x:v>
      </x:c>
      <x:c r="D18" s="236" t="n">
        <x:f>'Balance Sheet 2023-25'!D9-'Balance Sheet 2023-25'!D22</x:f>
        <x:v>-2200.2999999999997</x:v>
      </x:c>
      <x:c r="E18" s="99"/>
      <x:c r="F18" s="99"/>
      <x:c r="G18" s="99"/>
      <x:c r="H18" s="99"/>
      <x:c r="I18" s="99"/>
      <x:c r="J18" s="99"/>
      <x:c r="K18" s="99"/>
      <x:c r="L18" s="99"/>
      <x:c r="M18" s="99"/>
    </x:row>
    <x:row r="19">
      <x:c r="A19" s="230" t="str">
        <x:v>Asset turnover</x:v>
      </x:c>
      <x:c r="B19" s="243" t="n">
        <x:f>'P&amp;L 2023-25'!B6/'Balance Sheet 2023-25'!B13</x:f>
        <x:v>1.3280643271518853</x:v>
      </x:c>
      <x:c r="C19" s="243" t="n">
        <x:f>'P&amp;L 2023-25'!C6/'Balance Sheet 2023-25'!C13</x:f>
        <x:v>1.4554473695623888</x:v>
      </x:c>
      <x:c r="D19" s="243" t="n">
        <x:f>'P&amp;L 2023-25'!D6/'Balance Sheet 2023-25'!D13</x:f>
        <x:v>1.4112912021989048</x:v>
      </x:c>
      <x:c r="E19" s="99"/>
      <x:c r="F19" s="99"/>
      <x:c r="G19" s="99"/>
      <x:c r="H19" s="99"/>
      <x:c r="I19" s="99"/>
      <x:c r="J19" s="99"/>
      <x:c r="K19" s="99"/>
      <x:c r="L19" s="99"/>
      <x:c r="M19" s="99"/>
    </x:row>
    <x:row r="20">
      <x:c r="A20" s="230" t="str">
        <x:v>Inventory turnover</x:v>
      </x:c>
      <x:c r="B20" s="243" t="n">
        <x:f>ABS('P&amp;L 2023-25'!B7)/'Balance Sheet 2023-25'!B10</x:f>
        <x:v>14.543580903844713</x:v>
      </x:c>
      <x:c r="C20" s="243" t="n">
        <x:f>ABS('P&amp;L 2023-25'!C7)/'Balance Sheet 2023-25'!C10</x:f>
        <x:v>15.329512029564825</x:v>
      </x:c>
      <x:c r="D20" s="243" t="n">
        <x:f>ABS('P&amp;L 2023-25'!D7)/'Balance Sheet 2023-25'!D10</x:f>
        <x:v>14.264744145706853</x:v>
      </x:c>
      <x:c r="E20" s="99"/>
      <x:c r="F20" s="99"/>
      <x:c r="G20" s="99"/>
      <x:c r="H20" s="99"/>
      <x:c r="I20" s="99"/>
      <x:c r="J20" s="99"/>
      <x:c r="K20" s="99"/>
      <x:c r="L20" s="99"/>
      <x:c r="M20" s="99"/>
    </x:row>
    <x:row r="21">
      <x:c r="A21" s="230"/>
      <x:c r="B21" s="230"/>
      <x:c r="C21" s="230"/>
      <x:c r="D21" s="230"/>
      <x:c r="E21" s="99"/>
      <x:c r="F21" s="99"/>
      <x:c r="G21" s="99"/>
      <x:c r="H21" s="99"/>
      <x:c r="I21" s="99"/>
      <x:c r="J21" s="99"/>
      <x:c r="K21" s="99"/>
      <x:c r="L21" s="99"/>
      <x:c r="M21" s="99"/>
    </x:row>
    <x:row r="22">
      <x:c r="A22" s="230"/>
      <x:c r="B22" s="230"/>
      <x:c r="C22" s="230"/>
      <x:c r="D22" s="230"/>
      <x:c r="E22" s="99"/>
      <x:c r="F22" s="99"/>
      <x:c r="G22" s="99"/>
      <x:c r="H22" s="99"/>
      <x:c r="I22" s="99"/>
      <x:c r="J22" s="99"/>
      <x:c r="K22" s="99"/>
      <x:c r="L22" s="99"/>
      <x:c r="M22" s="99"/>
    </x:row>
    <x:row r="23">
      <x:c r="A23" s="230"/>
      <x:c r="B23" s="230"/>
      <x:c r="C23" s="230"/>
      <x:c r="D23" s="230"/>
      <x:c r="E23" s="99"/>
      <x:c r="F23" s="99"/>
      <x:c r="G23" s="99"/>
      <x:c r="H23" s="99"/>
      <x:c r="I23" s="99"/>
      <x:c r="J23" s="99"/>
      <x:c r="K23" s="99"/>
      <x:c r="L23" s="99"/>
      <x:c r="M23" s="99"/>
    </x:row>
    <x:row r="24">
      <x:c r="A24" s="240" t="str">
        <x:v>Leverage / Solvency Ratios</x:v>
      </x:c>
      <x:c r="B24" s="241" t="str">
        <x:v>FY2023</x:v>
      </x:c>
      <x:c r="C24" s="241" t="str">
        <x:v>FY2024</x:v>
      </x:c>
      <x:c r="D24" s="241" t="str">
        <x:v>FY2025</x:v>
      </x:c>
      <x:c r="E24" s="99"/>
      <x:c r="F24" s="99"/>
      <x:c r="G24" s="99"/>
      <x:c r="H24" s="99"/>
      <x:c r="I24" s="99"/>
      <x:c r="J24" s="99"/>
      <x:c r="K24" s="99"/>
      <x:c r="L24" s="99"/>
      <x:c r="M24" s="99"/>
    </x:row>
    <x:row r="25">
      <x:c r="A25" s="230" t="str">
        <x:v>Gross debt / equity</x:v>
      </x:c>
      <x:c r="B25" s="243" t="n">
        <x:f>('Balance Sheet 2023-25'!B15+'Balance Sheet 2023-25'!B16+'Balance Sheet 2023-25'!B17+'Balance Sheet 2023-25'!B18+'Balance Sheet 2023-25'!B19)/'Balance Sheet 2023-25'!B14</x:f>
        <x:v>2.385471871178149</x:v>
      </x:c>
      <x:c r="C25" s="243" t="n">
        <x:f>('Balance Sheet 2023-25'!C15+'Balance Sheet 2023-25'!C16+'Balance Sheet 2023-25'!C17+'Balance Sheet 2023-25'!C18+'Balance Sheet 2023-25'!C19)/'Balance Sheet 2023-25'!C14</x:f>
        <x:v>2.6418862370494356</x:v>
      </x:c>
      <x:c r="D25" s="243" t="n">
        <x:f>('Balance Sheet 2023-25'!D15+'Balance Sheet 2023-25'!D16+'Balance Sheet 2023-25'!D17+'Balance Sheet 2023-25'!D18+'Balance Sheet 2023-25'!D19)/'Balance Sheet 2023-25'!D14</x:f>
        <x:v>3.4961657572629403</x:v>
      </x:c>
      <x:c r="E25" s="99"/>
      <x:c r="F25" s="99"/>
      <x:c r="G25" s="99"/>
      <x:c r="H25" s="99"/>
      <x:c r="I25" s="99"/>
      <x:c r="J25" s="99"/>
      <x:c r="K25" s="99"/>
      <x:c r="L25" s="99"/>
      <x:c r="M25" s="99"/>
    </x:row>
    <x:row r="26">
      <x:c r="A26" s="230" t="str">
        <x:v>Liabilities / assets</x:v>
      </x:c>
      <x:c r="B26" s="242" t="n">
        <x:f>'Balance Sheet 2023-25'!B23/'Balance Sheet 2023-25'!B13</x:f>
        <x:v>0.7965254628309546</x:v>
      </x:c>
      <x:c r="C26" s="242" t="n">
        <x:f>'Balance Sheet 2023-25'!C23/'Balance Sheet 2023-25'!C13</x:f>
        <x:v>0.8121449017651907</x:v>
      </x:c>
      <x:c r="D26" s="242" t="n">
        <x:f>'Balance Sheet 2023-25'!D23/'Balance Sheet 2023-25'!D13</x:f>
        <x:v>0.8520756527998953</x:v>
      </x:c>
      <x:c r="E26" s="99"/>
      <x:c r="F26" s="99"/>
      <x:c r="G26" s="99"/>
      <x:c r="H26" s="99"/>
      <x:c r="I26" s="99"/>
      <x:c r="J26" s="99"/>
      <x:c r="K26" s="99"/>
      <x:c r="L26" s="99"/>
      <x:c r="M26" s="99"/>
    </x:row>
    <x:row r="27">
      <x:c r="A27" s="99"/>
      <x:c r="B27" s="99"/>
      <x:c r="C27" s="99"/>
      <x:c r="D27" s="99"/>
      <x:c r="E27" s="99"/>
      <x:c r="F27" s="99"/>
      <x:c r="G27" s="99"/>
      <x:c r="H27" s="99"/>
      <x:c r="I27" s="99"/>
      <x:c r="J27" s="99"/>
      <x:c r="K27" s="99"/>
      <x:c r="L27" s="99"/>
      <x:c r="M27" s="99"/>
    </x:row>
    <x:row r="28">
      <x:c r="A28" s="99"/>
      <x:c r="B28" s="99"/>
      <x:c r="C28" s="99"/>
      <x:c r="D28" s="99"/>
      <x:c r="E28" s="99"/>
      <x:c r="F28" s="99"/>
      <x:c r="G28" s="99"/>
      <x:c r="H28" s="99"/>
      <x:c r="I28" s="99"/>
      <x:c r="J28" s="99"/>
      <x:c r="K28" s="99"/>
      <x:c r="L28" s="99"/>
      <x:c r="M28" s="99"/>
    </x:row>
    <x:row r="29">
      <x:c r="A29" s="99"/>
      <x:c r="B29" s="99"/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  <x:c r="M29" s="99"/>
    </x:row>
    <x:row r="30">
      <x:c r="A30" s="99"/>
      <x:c r="B30" s="99"/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  <x:c r="M30" s="99"/>
    </x:row>
    <x:row r="31">
      <x:c r="A31" s="99"/>
      <x:c r="B31" s="99"/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  <x:c r="M31" s="99"/>
    </x:row>
    <x:row r="32">
      <x:c r="A32" s="99"/>
      <x:c r="B32" s="99"/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  <x:c r="M32" s="99"/>
    </x:row>
    <x:row r="33">
      <x:c r="A33" s="99"/>
      <x:c r="B33" s="99"/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  <x:c r="M33" s="99"/>
    </x:row>
    <x:row r="34">
      <x:c r="A34" s="99"/>
      <x:c r="B34" s="99"/>
      <x:c r="C34" s="99"/>
      <x:c r="D34" s="99"/>
      <x:c r="E34" s="99"/>
      <x:c r="F34" s="99"/>
      <x:c r="G34" s="99"/>
      <x:c r="H34" s="99"/>
      <x:c r="I34" s="99"/>
      <x:c r="J34" s="99"/>
      <x:c r="K34" s="99"/>
      <x:c r="L34" s="99"/>
      <x:c r="M34" s="99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</x:row>
    <x:row r="38">
      <x:c r="A38" s="99"/>
      <x:c r="B38" s="99"/>
      <x:c r="C38" s="99"/>
      <x:c r="D38" s="99"/>
      <x:c r="E38" s="99"/>
      <x:c r="F38" s="99"/>
      <x:c r="G38" s="99"/>
      <x:c r="H38" s="99"/>
      <x:c r="I38" s="99"/>
      <x:c r="J38" s="99"/>
      <x:c r="K38" s="99"/>
      <x:c r="L38" s="99"/>
      <x:c r="M38" s="99"/>
    </x:row>
    <x:row r="39">
      <x:c r="A39" s="99"/>
      <x:c r="B39" s="99"/>
      <x:c r="C39" s="99"/>
      <x:c r="D39" s="99"/>
      <x:c r="E39" s="99"/>
      <x:c r="F39" s="99"/>
      <x:c r="G39" s="99"/>
      <x:c r="H39" s="99"/>
      <x:c r="I39" s="99"/>
      <x:c r="J39" s="99"/>
      <x:c r="K39" s="99"/>
      <x:c r="L39" s="99"/>
      <x:c r="M39" s="99"/>
    </x:row>
    <x:row r="40">
      <x:c r="A40" s="99"/>
      <x:c r="B40" s="99"/>
      <x:c r="C40" s="99"/>
      <x:c r="D40" s="99"/>
      <x:c r="E40" s="99"/>
      <x:c r="F40" s="99"/>
      <x:c r="G40" s="99"/>
      <x:c r="H40" s="99"/>
      <x:c r="I40" s="99"/>
      <x:c r="J40" s="99"/>
      <x:c r="K40" s="99"/>
      <x:c r="L40" s="99"/>
      <x:c r="M40" s="99"/>
    </x:row>
  </x:sheetData>
  <x:mergeCells>
    <x:mergeCell ref="A1:D2"/>
    <x:mergeCell ref="A3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4" customHeight="1">
      <x:c r="A1" s="229" t="str">
        <x:v>Asda Group Limited</x:v>
      </x:c>
      <x:c r="B1" s="229"/>
      <x:c r="C1" s="229"/>
      <x:c r="D1" s="22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4" customHeight="1">
      <x:c r="A2" s="229"/>
      <x:c r="B2" s="229"/>
      <x:c r="C2" s="229"/>
      <x:c r="D2" s="229"/>
      <x:c r="E2" s="99"/>
      <x:c r="F2" s="99"/>
      <x:c r="G2" s="99"/>
      <x:c r="H2" s="99"/>
      <x:c r="I2" s="99"/>
      <x:c r="J2" s="99"/>
      <x:c r="K2" s="99"/>
      <x:c r="L2" s="99"/>
      <x:c r="M2" s="99"/>
    </x:row>
    <x:row r="3" ht="24" customHeight="1">
      <x:c r="A3" s="229" t="str">
        <x:v>Vertical Analysis</x:v>
      </x:c>
      <x:c r="B3" s="229"/>
      <x:c r="C3" s="229"/>
      <x:c r="D3" s="229"/>
      <x:c r="E3" s="99"/>
      <x:c r="F3" s="99"/>
      <x:c r="G3" s="99"/>
      <x:c r="H3" s="99"/>
      <x:c r="I3" s="99"/>
      <x:c r="J3" s="99"/>
      <x:c r="K3" s="99"/>
      <x:c r="L3" s="99"/>
      <x:c r="M3" s="99"/>
    </x:row>
    <x:row r="4">
      <x:c r="A4" s="230"/>
      <x:c r="B4" s="230"/>
      <x:c r="C4" s="230"/>
      <x:c r="D4" s="230"/>
      <x:c r="E4" s="99"/>
      <x:c r="F4" s="99"/>
      <x:c r="G4" s="99"/>
      <x:c r="H4" s="99"/>
      <x:c r="I4" s="99"/>
      <x:c r="J4" s="99"/>
      <x:c r="K4" s="99"/>
      <x:c r="L4" s="99"/>
      <x:c r="M4" s="99"/>
    </x:row>
    <x:row r="5">
      <x:c r="A5" s="244" t="str">
        <x:v>Income Statement (% of Revenue)</x:v>
      </x:c>
      <x:c r="B5" s="244" t="str">
        <x:v>FY2023</x:v>
      </x:c>
      <x:c r="C5" s="244" t="str">
        <x:v>FY2024</x:v>
      </x:c>
      <x:c r="D5" s="244" t="str">
        <x:v>FY2025</x:v>
      </x:c>
      <x:c r="E5" s="99"/>
      <x:c r="F5" s="99"/>
      <x:c r="G5" s="99"/>
      <x:c r="H5" s="99"/>
      <x:c r="I5" s="99"/>
      <x:c r="J5" s="99"/>
      <x:c r="K5" s="99"/>
      <x:c r="L5" s="99"/>
      <x:c r="M5" s="99"/>
    </x:row>
    <x:row r="6">
      <x:c r="A6" s="230" t="str">
        <x:v>Revenue</x:v>
      </x:c>
      <x:c r="B6" s="245" t="n">
        <x:f>'P&amp;L 2023-25'!B6/'P&amp;L 2023-25'!B$6</x:f>
        <x:v>1</x:v>
      </x:c>
      <x:c r="C6" s="245" t="n">
        <x:f>'P&amp;L 2023-25'!C6/'P&amp;L 2023-25'!C$6</x:f>
        <x:v>1</x:v>
      </x:c>
      <x:c r="D6" s="245" t="n">
        <x:f>'P&amp;L 2023-25'!D6/'P&amp;L 2023-25'!D$6</x:f>
        <x:v>1</x:v>
      </x:c>
      <x:c r="E6" s="99"/>
      <x:c r="F6" s="99"/>
      <x:c r="G6" s="99"/>
      <x:c r="H6" s="99"/>
      <x:c r="I6" s="99"/>
      <x:c r="J6" s="99"/>
      <x:c r="K6" s="99"/>
      <x:c r="L6" s="99"/>
      <x:c r="M6" s="99"/>
    </x:row>
    <x:row r="7">
      <x:c r="A7" s="230" t="str">
        <x:v>Cost of goods sold</x:v>
      </x:c>
      <x:c r="B7" s="245" t="n">
        <x:f>'P&amp;L 2023-25'!B7/'P&amp;L 2023-25'!B$6</x:f>
        <x:v>-0.7575272573964843</x:v>
      </x:c>
      <x:c r="C7" s="245" t="n">
        <x:f>'P&amp;L 2023-25'!C7/'P&amp;L 2023-25'!C$6</x:f>
        <x:v>-0.7570940081798069</x:v>
      </x:c>
      <x:c r="D7" s="245" t="n">
        <x:f>'P&amp;L 2023-25'!D7/'P&amp;L 2023-25'!D$6</x:f>
        <x:v>-0.762682587526084</x:v>
      </x:c>
      <x:c r="E7" s="99"/>
      <x:c r="F7" s="99"/>
      <x:c r="G7" s="99"/>
      <x:c r="H7" s="99"/>
      <x:c r="I7" s="99"/>
      <x:c r="J7" s="99"/>
      <x:c r="K7" s="99"/>
      <x:c r="L7" s="99"/>
      <x:c r="M7" s="99"/>
    </x:row>
    <x:row r="8">
      <x:c r="A8" s="230" t="str">
        <x:v>Gross profit</x:v>
      </x:c>
      <x:c r="B8" s="245" t="n">
        <x:f>'P&amp;L 2023-25'!B8/'P&amp;L 2023-25'!B$6</x:f>
        <x:v>0.24247274260351562</x:v>
      </x:c>
      <x:c r="C8" s="245" t="n">
        <x:f>'P&amp;L 2023-25'!C8/'P&amp;L 2023-25'!C$6</x:f>
        <x:v>0.24290599182019326</x:v>
      </x:c>
      <x:c r="D8" s="245" t="n">
        <x:f>'P&amp;L 2023-25'!D8/'P&amp;L 2023-25'!D$6</x:f>
        <x:v>0.23731741247391608</x:v>
      </x:c>
      <x:c r="E8" s="99"/>
      <x:c r="F8" s="99"/>
      <x:c r="G8" s="99"/>
      <x:c r="H8" s="99"/>
      <x:c r="I8" s="99"/>
      <x:c r="J8" s="99"/>
      <x:c r="K8" s="99"/>
      <x:c r="L8" s="99"/>
      <x:c r="M8" s="99"/>
    </x:row>
    <x:row r="9">
      <x:c r="A9" s="230" t="str">
        <x:v>Other income</x:v>
      </x:c>
      <x:c r="B9" s="245" t="n">
        <x:f>'P&amp;L 2023-25'!B9/'P&amp;L 2023-25'!B$6</x:f>
        <x:v>0.0027677041328185692</x:v>
      </x:c>
      <x:c r="C9" s="245" t="n">
        <x:f>'P&amp;L 2023-25'!C9/'P&amp;L 2023-25'!C$6</x:f>
        <x:v>0.002983618037293363</x:v>
      </x:c>
      <x:c r="D9" s="245" t="n">
        <x:f>'P&amp;L 2023-25'!D9/'P&amp;L 2023-25'!D$6</x:f>
        <x:v>0.003748357678336811</x:v>
      </x:c>
      <x:c r="E9" s="99"/>
      <x:c r="F9" s="99"/>
      <x:c r="G9" s="99"/>
      <x:c r="H9" s="99"/>
      <x:c r="I9" s="99"/>
      <x:c r="J9" s="99"/>
      <x:c r="K9" s="99"/>
      <x:c r="L9" s="99"/>
      <x:c r="M9" s="99"/>
    </x:row>
    <x:row r="10">
      <x:c r="A10" s="230" t="str">
        <x:v>Operating costs</x:v>
      </x:c>
      <x:c r="B10" s="245" t="n">
        <x:f>'P&amp;L 2023-25'!B10/'P&amp;L 2023-25'!B$6</x:f>
        <x:v>-0.9805714196487475</x:v>
      </x:c>
      <x:c r="C10" s="245" t="n">
        <x:f>'P&amp;L 2023-25'!C10/'P&amp;L 2023-25'!C$6</x:f>
        <x:v>-1.0046076598153957</x:v>
      </x:c>
      <x:c r="D10" s="245" t="n">
        <x:f>'P&amp;L 2023-25'!D10/'P&amp;L 2023-25'!D$6</x:f>
        <x:v>-1.0173274596182085</x:v>
      </x:c>
      <x:c r="E10" s="99"/>
      <x:c r="F10" s="99"/>
      <x:c r="G10" s="99"/>
      <x:c r="H10" s="99"/>
      <x:c r="I10" s="99"/>
      <x:c r="J10" s="99"/>
      <x:c r="K10" s="99"/>
      <x:c r="L10" s="99"/>
      <x:c r="M10" s="99"/>
    </x:row>
    <x:row r="11">
      <x:c r="A11" s="230" t="str">
        <x:v>Operating profit/(loss)</x:v>
      </x:c>
      <x:c r="B11" s="245" t="n">
        <x:f>'P&amp;L 2023-25'!B11/'P&amp;L 2023-25'!B$6</x:f>
        <x:v>0.02219628448407106</x:v>
      </x:c>
      <x:c r="C11" s="245" t="n">
        <x:f>'P&amp;L 2023-25'!C11/'P&amp;L 2023-25'!C$6</x:f>
        <x:v>-0.0016240417781022553</x:v>
      </x:c>
      <x:c r="D11" s="245" t="n">
        <x:f>'P&amp;L 2023-25'!D11/'P&amp;L 2023-25'!D$6</x:f>
        <x:v>-0.013579101939871704</x:v>
      </x:c>
      <x:c r="E11" s="99"/>
      <x:c r="F11" s="99"/>
      <x:c r="G11" s="99"/>
      <x:c r="H11" s="99"/>
      <x:c r="I11" s="99"/>
      <x:c r="J11" s="99"/>
      <x:c r="K11" s="99"/>
      <x:c r="L11" s="99"/>
      <x:c r="M11" s="99"/>
    </x:row>
    <x:row r="12">
      <x:c r="A12" s="230" t="str">
        <x:v>Profit/(loss) for the year</x:v>
      </x:c>
      <x:c r="B12" s="245" t="n">
        <x:f>'P&amp;L 2023-25'!B13/'P&amp;L 2023-25'!B$6</x:f>
        <x:v>0.00759264391866307</x:v>
      </x:c>
      <x:c r="C12" s="245" t="n">
        <x:f>'P&amp;L 2023-25'!C13/'P&amp;L 2023-25'!C$6</x:f>
        <x:v>-0.01814754941035364</x:v>
      </x:c>
      <x:c r="D12" s="245" t="n">
        <x:f>'P&amp;L 2023-25'!D13/'P&amp;L 2023-25'!D$6</x:f>
        <x:v>-0.02767601823943118</x:v>
      </x:c>
      <x:c r="E12" s="99"/>
      <x:c r="F12" s="99"/>
      <x:c r="G12" s="99"/>
      <x:c r="H12" s="99"/>
      <x:c r="I12" s="99"/>
      <x:c r="J12" s="99"/>
      <x:c r="K12" s="99"/>
      <x:c r="L12" s="99"/>
      <x:c r="M12" s="99"/>
    </x:row>
    <x:row r="13">
      <x:c r="A13" s="230"/>
      <x:c r="B13" s="230"/>
      <x:c r="C13" s="230"/>
      <x:c r="D13" s="230"/>
      <x:c r="E13" s="99"/>
      <x:c r="F13" s="99"/>
      <x:c r="G13" s="99"/>
      <x:c r="H13" s="99"/>
      <x:c r="I13" s="99"/>
      <x:c r="J13" s="99"/>
      <x:c r="K13" s="99"/>
      <x:c r="L13" s="99"/>
      <x:c r="M13" s="99"/>
    </x:row>
    <x:row r="14">
      <x:c r="A14" s="230"/>
      <x:c r="B14" s="230"/>
      <x:c r="C14" s="230"/>
      <x:c r="D14" s="230"/>
      <x:c r="E14" s="99"/>
      <x:c r="F14" s="99"/>
      <x:c r="G14" s="99"/>
      <x:c r="H14" s="99"/>
      <x:c r="I14" s="99"/>
      <x:c r="J14" s="99"/>
      <x:c r="K14" s="99"/>
      <x:c r="L14" s="99"/>
      <x:c r="M14" s="99"/>
    </x:row>
    <x:row r="15">
      <x:c r="A15" s="244" t="str">
        <x:v>Balance Sheet (% of Total Assets)</x:v>
      </x:c>
      <x:c r="B15" s="244" t="str">
        <x:v>FY2023</x:v>
      </x:c>
      <x:c r="C15" s="244" t="str">
        <x:v>FY2024</x:v>
      </x:c>
      <x:c r="D15" s="244" t="str">
        <x:v>FY2025</x:v>
      </x:c>
      <x:c r="E15" s="99"/>
      <x:c r="F15" s="99"/>
      <x:c r="G15" s="99"/>
      <x:c r="H15" s="99"/>
      <x:c r="I15" s="99"/>
      <x:c r="J15" s="99"/>
      <x:c r="K15" s="99"/>
      <x:c r="L15" s="99"/>
      <x:c r="M15" s="99"/>
    </x:row>
    <x:row r="16">
      <x:c r="A16" s="230" t="str">
        <x:v>Non current assets</x:v>
      </x:c>
      <x:c r="B16" s="245" t="n">
        <x:f>'Balance Sheet 2023-25'!B6/'Balance Sheet 2023-25'!B$13</x:f>
        <x:v>0.8569436307928393</x:v>
      </x:c>
      <x:c r="C16" s="245" t="n">
        <x:f>'Balance Sheet 2023-25'!C6/'Balance Sheet 2023-25'!C$13</x:f>
        <x:v>0.8632736262306459</x:v>
      </x:c>
      <x:c r="D16" s="245" t="n">
        <x:f>'Balance Sheet 2023-25'!D6/'Balance Sheet 2023-25'!D$13</x:f>
        <x:v>0.8302229445256428</x:v>
      </x:c>
      <x:c r="E16" s="99"/>
      <x:c r="F16" s="99"/>
      <x:c r="G16" s="99"/>
      <x:c r="H16" s="99"/>
      <x:c r="I16" s="99"/>
      <x:c r="J16" s="99"/>
      <x:c r="K16" s="99"/>
      <x:c r="L16" s="99"/>
      <x:c r="M16" s="99"/>
    </x:row>
    <x:row r="17">
      <x:c r="A17" s="230" t="str">
        <x:v>Total current assets incl. held for sale</x:v>
      </x:c>
      <x:c r="B17" s="245" t="n">
        <x:f>'Balance Sheet 2023-25'!B9/'Balance Sheet 2023-25'!B$13</x:f>
        <x:v>0.14305636920716058</x:v>
      </x:c>
      <x:c r="C17" s="245" t="n">
        <x:f>'Balance Sheet 2023-25'!C9/'Balance Sheet 2023-25'!C$13</x:f>
        <x:v>0.13672637376935423</x:v>
      </x:c>
      <x:c r="D17" s="245" t="n">
        <x:f>'Balance Sheet 2023-25'!D9/'Balance Sheet 2023-25'!D$13</x:f>
        <x:v>0.169777055474357</x:v>
      </x:c>
      <x:c r="E17" s="99"/>
      <x:c r="F17" s="99"/>
      <x:c r="G17" s="99"/>
      <x:c r="H17" s="99"/>
      <x:c r="I17" s="99"/>
      <x:c r="J17" s="99"/>
      <x:c r="K17" s="99"/>
      <x:c r="L17" s="99"/>
      <x:c r="M17" s="99"/>
    </x:row>
    <x:row r="18">
      <x:c r="A18" s="230" t="str">
        <x:v>Inventories</x:v>
      </x:c>
      <x:c r="B18" s="245" t="n">
        <x:f>'Balance Sheet 2023-25'!B10/'Balance Sheet 2023-25'!B$13</x:f>
        <x:v>0.06917449932344508</x:v>
      </x:c>
      <x:c r="C18" s="245" t="n">
        <x:f>'Balance Sheet 2023-25'!C10/'Balance Sheet 2023-25'!C$13</x:f>
        <x:v>0.071881641150193</x:v>
      </x:c>
      <x:c r="D18" s="245" t="n">
        <x:f>'Balance Sheet 2023-25'!D10/'Balance Sheet 2023-25'!D$13</x:f>
        <x:v>0.07545646909971422</x:v>
      </x:c>
      <x:c r="E18" s="99"/>
      <x:c r="F18" s="99"/>
      <x:c r="G18" s="99"/>
      <x:c r="H18" s="99"/>
      <x:c r="I18" s="99"/>
      <x:c r="J18" s="99"/>
      <x:c r="K18" s="99"/>
      <x:c r="L18" s="99"/>
      <x:c r="M18" s="99"/>
    </x:row>
    <x:row r="19">
      <x:c r="A19" s="230" t="str">
        <x:v>Cash and cash equivalents</x:v>
      </x:c>
      <x:c r="B19" s="245" t="n">
        <x:f>'Balance Sheet 2023-25'!B12/'Balance Sheet 2023-25'!B$13</x:f>
        <x:v>0.05327934718931614</x:v>
      </x:c>
      <x:c r="C19" s="245" t="n">
        <x:f>'Balance Sheet 2023-25'!C12/'Balance Sheet 2023-25'!C$13</x:f>
        <x:v>0.044644793338248695</x:v>
      </x:c>
      <x:c r="D19" s="245" t="n">
        <x:f>'Balance Sheet 2023-25'!D12/'Balance Sheet 2023-25'!D$13</x:f>
        <x:v>0.07302414868785584</x:v>
      </x:c>
      <x:c r="E19" s="99"/>
      <x:c r="F19" s="99"/>
      <x:c r="G19" s="99"/>
      <x:c r="H19" s="99"/>
      <x:c r="I19" s="99"/>
      <x:c r="J19" s="99"/>
      <x:c r="K19" s="99"/>
      <x:c r="L19" s="99"/>
      <x:c r="M19" s="99"/>
    </x:row>
    <x:row r="20">
      <x:c r="A20" s="230" t="str">
        <x:v>Total equity</x:v>
      </x:c>
      <x:c r="B20" s="245" t="n">
        <x:f>'Balance Sheet 2023-25'!B14/'Balance Sheet 2023-25'!B$13</x:f>
        <x:v>0.2034745371690454</x:v>
      </x:c>
      <x:c r="C20" s="245" t="n">
        <x:f>'Balance Sheet 2023-25'!C14/'Balance Sheet 2023-25'!C$13</x:f>
        <x:v>0.1878550982348094</x:v>
      </x:c>
      <x:c r="D20" s="245" t="n">
        <x:f>'Balance Sheet 2023-25'!D14/'Balance Sheet 2023-25'!D$13</x:f>
        <x:v>0.1479243472001047</x:v>
      </x:c>
      <x:c r="E20" s="99"/>
      <x:c r="F20" s="99"/>
      <x:c r="G20" s="99"/>
      <x:c r="H20" s="99"/>
      <x:c r="I20" s="99"/>
      <x:c r="J20" s="99"/>
      <x:c r="K20" s="99"/>
      <x:c r="L20" s="99"/>
      <x:c r="M20" s="99"/>
    </x:row>
    <x:row r="21">
      <x:c r="A21" s="230" t="str">
        <x:v>Total current liabilities incl. held for sale</x:v>
      </x:c>
      <x:c r="B21" s="245" t="n">
        <x:f>'Balance Sheet 2023-25'!B22/'Balance Sheet 2023-25'!B$13</x:f>
        <x:v>0.25060008605985823</x:v>
      </x:c>
      <x:c r="C21" s="245" t="n">
        <x:f>'Balance Sheet 2023-25'!C22/'Balance Sheet 2023-25'!C$13</x:f>
        <x:v>0.25736761070390773</x:v>
      </x:c>
      <x:c r="D21" s="245" t="n">
        <x:f>'Balance Sheet 2023-25'!D22/'Balance Sheet 2023-25'!D$13</x:f>
        <x:v>0.2897733470037739</x:v>
      </x:c>
      <x:c r="E21" s="99"/>
      <x:c r="F21" s="99"/>
      <x:c r="G21" s="99"/>
      <x:c r="H21" s="99"/>
      <x:c r="I21" s="99"/>
      <x:c r="J21" s="99"/>
      <x:c r="K21" s="99"/>
      <x:c r="L21" s="99"/>
      <x:c r="M21" s="99"/>
    </x:row>
    <x:row r="22">
      <x:c r="A22" s="230" t="str">
        <x:v>Total liabilities</x:v>
      </x:c>
      <x:c r="B22" s="245" t="n">
        <x:f>'Balance Sheet 2023-25'!B23/'Balance Sheet 2023-25'!B$13</x:f>
        <x:v>0.7965254628309546</x:v>
      </x:c>
      <x:c r="C22" s="245" t="n">
        <x:f>'Balance Sheet 2023-25'!C23/'Balance Sheet 2023-25'!C$13</x:f>
        <x:v>0.8121449017651907</x:v>
      </x:c>
      <x:c r="D22" s="245" t="n">
        <x:f>'Balance Sheet 2023-25'!D23/'Balance Sheet 2023-25'!D$13</x:f>
        <x:v>0.8520756527998953</x:v>
      </x:c>
      <x:c r="E22" s="99"/>
      <x:c r="F22" s="99"/>
      <x:c r="G22" s="99"/>
      <x:c r="H22" s="99"/>
      <x:c r="I22" s="99"/>
      <x:c r="J22" s="99"/>
      <x:c r="K22" s="99"/>
      <x:c r="L22" s="99"/>
      <x:c r="M22" s="99"/>
    </x:row>
    <x:row r="23">
      <x:c r="A23" s="99"/>
      <x:c r="B23" s="99"/>
      <x:c r="C23" s="99"/>
      <x:c r="D23" s="99"/>
      <x:c r="E23" s="99"/>
      <x:c r="F23" s="99"/>
      <x:c r="G23" s="99"/>
      <x:c r="H23" s="99"/>
      <x:c r="I23" s="99"/>
      <x:c r="J23" s="99"/>
      <x:c r="K23" s="99"/>
      <x:c r="L23" s="99"/>
      <x:c r="M23" s="99"/>
    </x:row>
    <x:row r="24">
      <x:c r="A24" s="99"/>
      <x:c r="B24" s="99"/>
      <x:c r="C24" s="99"/>
      <x:c r="D24" s="99"/>
      <x:c r="E24" s="99"/>
      <x:c r="F24" s="99"/>
      <x:c r="G24" s="99"/>
      <x:c r="H24" s="99"/>
      <x:c r="I24" s="99"/>
      <x:c r="J24" s="99"/>
      <x:c r="K24" s="99"/>
      <x:c r="L24" s="99"/>
      <x:c r="M24" s="99"/>
    </x:row>
    <x:row r="25">
      <x:c r="A25" s="99"/>
      <x:c r="B25" s="99"/>
      <x:c r="C25" s="99"/>
      <x:c r="D25" s="99"/>
      <x:c r="E25" s="99"/>
      <x:c r="F25" s="99"/>
      <x:c r="G25" s="99"/>
      <x:c r="H25" s="99"/>
      <x:c r="I25" s="99"/>
      <x:c r="J25" s="99"/>
      <x:c r="K25" s="99"/>
      <x:c r="L25" s="99"/>
      <x:c r="M25" s="99"/>
    </x:row>
    <x:row r="26">
      <x:c r="A26" s="99"/>
      <x:c r="B26" s="99"/>
      <x:c r="C26" s="99"/>
      <x:c r="D26" s="99"/>
      <x:c r="E26" s="99"/>
      <x:c r="F26" s="99"/>
      <x:c r="G26" s="99"/>
      <x:c r="H26" s="99"/>
      <x:c r="I26" s="99"/>
      <x:c r="J26" s="99"/>
      <x:c r="K26" s="99"/>
      <x:c r="L26" s="99"/>
      <x:c r="M26" s="99"/>
    </x:row>
    <x:row r="27">
      <x:c r="A27" s="99"/>
      <x:c r="B27" s="99"/>
      <x:c r="C27" s="99"/>
      <x:c r="D27" s="99"/>
      <x:c r="E27" s="99"/>
      <x:c r="F27" s="99"/>
      <x:c r="G27" s="99"/>
      <x:c r="H27" s="99"/>
      <x:c r="I27" s="99"/>
      <x:c r="J27" s="99"/>
      <x:c r="K27" s="99"/>
      <x:c r="L27" s="99"/>
      <x:c r="M27" s="99"/>
    </x:row>
    <x:row r="28">
      <x:c r="A28" s="99"/>
      <x:c r="B28" s="99"/>
      <x:c r="C28" s="99"/>
      <x:c r="D28" s="99"/>
      <x:c r="E28" s="99"/>
      <x:c r="F28" s="99"/>
      <x:c r="G28" s="99"/>
      <x:c r="H28" s="99"/>
      <x:c r="I28" s="99"/>
      <x:c r="J28" s="99"/>
      <x:c r="K28" s="99"/>
      <x:c r="L28" s="99"/>
      <x:c r="M28" s="99"/>
    </x:row>
    <x:row r="29">
      <x:c r="A29" s="99"/>
      <x:c r="B29" s="99"/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  <x:c r="M29" s="99"/>
    </x:row>
    <x:row r="30">
      <x:c r="A30" s="99"/>
      <x:c r="B30" s="99"/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  <x:c r="M30" s="99"/>
    </x:row>
    <x:row r="31">
      <x:c r="A31" s="99"/>
      <x:c r="B31" s="99"/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  <x:c r="M31" s="99"/>
    </x:row>
    <x:row r="32">
      <x:c r="A32" s="99"/>
      <x:c r="B32" s="99"/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  <x:c r="M32" s="99"/>
    </x:row>
    <x:row r="33">
      <x:c r="A33" s="99"/>
      <x:c r="B33" s="99"/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  <x:c r="M33" s="99"/>
    </x:row>
    <x:row r="34">
      <x:c r="A34" s="99"/>
      <x:c r="B34" s="99"/>
      <x:c r="C34" s="99"/>
      <x:c r="D34" s="99"/>
      <x:c r="E34" s="99"/>
      <x:c r="F34" s="99"/>
      <x:c r="G34" s="99"/>
      <x:c r="H34" s="99"/>
      <x:c r="I34" s="99"/>
      <x:c r="J34" s="99"/>
      <x:c r="K34" s="99"/>
      <x:c r="L34" s="99"/>
      <x:c r="M34" s="99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</x:row>
    <x:row r="38">
      <x:c r="A38" s="99"/>
      <x:c r="B38" s="99"/>
      <x:c r="C38" s="99"/>
      <x:c r="D38" s="99"/>
      <x:c r="E38" s="99"/>
      <x:c r="F38" s="99"/>
      <x:c r="G38" s="99"/>
      <x:c r="H38" s="99"/>
      <x:c r="I38" s="99"/>
      <x:c r="J38" s="99"/>
      <x:c r="K38" s="99"/>
      <x:c r="L38" s="99"/>
      <x:c r="M38" s="99"/>
    </x:row>
    <x:row r="39">
      <x:c r="A39" s="99"/>
      <x:c r="B39" s="99"/>
      <x:c r="C39" s="99"/>
      <x:c r="D39" s="99"/>
      <x:c r="E39" s="99"/>
      <x:c r="F39" s="99"/>
      <x:c r="G39" s="99"/>
      <x:c r="H39" s="99"/>
      <x:c r="I39" s="99"/>
      <x:c r="J39" s="99"/>
      <x:c r="K39" s="99"/>
      <x:c r="L39" s="99"/>
      <x:c r="M39" s="99"/>
    </x:row>
    <x:row r="40">
      <x:c r="A40" s="99"/>
      <x:c r="B40" s="99"/>
      <x:c r="C40" s="99"/>
      <x:c r="D40" s="99"/>
      <x:c r="E40" s="99"/>
      <x:c r="F40" s="99"/>
      <x:c r="G40" s="99"/>
      <x:c r="H40" s="99"/>
      <x:c r="I40" s="99"/>
      <x:c r="J40" s="99"/>
      <x:c r="K40" s="99"/>
      <x:c r="L40" s="99"/>
      <x:c r="M40" s="99"/>
    </x:row>
  </x:sheetData>
  <x:mergeCells>
    <x:mergeCell ref="A1:D2"/>
    <x:mergeCell ref="A3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4" customHeight="1">
      <x:c r="A1" s="229" t="str">
        <x:v>Asda Group Limited</x:v>
      </x:c>
      <x:c r="B1" s="229"/>
      <x:c r="C1" s="229"/>
      <x:c r="D1" s="229"/>
      <x:c r="E1" s="98"/>
      <x:c r="F1" s="98"/>
      <x:c r="G1" s="98"/>
      <x:c r="H1" s="98"/>
      <x:c r="I1" s="99"/>
      <x:c r="J1" s="99"/>
      <x:c r="K1" s="99"/>
      <x:c r="L1" s="99"/>
      <x:c r="M1" s="99"/>
    </x:row>
    <x:row r="2" ht="24" customHeight="1">
      <x:c r="A2" s="229"/>
      <x:c r="B2" s="229"/>
      <x:c r="C2" s="229"/>
      <x:c r="D2" s="229"/>
      <x:c r="E2" s="98"/>
      <x:c r="F2" s="98"/>
      <x:c r="G2" s="98"/>
      <x:c r="H2" s="98"/>
      <x:c r="I2" s="99"/>
      <x:c r="J2" s="99"/>
      <x:c r="K2" s="99"/>
      <x:c r="L2" s="99"/>
      <x:c r="M2" s="99"/>
    </x:row>
    <x:row r="3" ht="24" customHeight="1">
      <x:c r="A3" s="229" t="str">
        <x:v>Financial Performance Summary</x:v>
      </x:c>
      <x:c r="B3" s="229"/>
      <x:c r="C3" s="229"/>
      <x:c r="D3" s="229"/>
      <x:c r="E3" s="98"/>
      <x:c r="F3" s="98"/>
      <x:c r="G3" s="98"/>
      <x:c r="H3" s="98"/>
      <x:c r="I3" s="99"/>
      <x:c r="J3" s="99"/>
      <x:c r="K3" s="99"/>
      <x:c r="L3" s="99"/>
      <x:c r="M3" s="99"/>
    </x:row>
    <x:row r="4">
      <x:c r="A4" s="230"/>
      <x:c r="B4" s="230"/>
      <x:c r="C4" s="230"/>
      <x:c r="D4" s="230"/>
      <x:c r="E4" s="99"/>
      <x:c r="F4" s="99"/>
      <x:c r="G4" s="99"/>
      <x:c r="H4" s="99"/>
      <x:c r="I4" s="99"/>
      <x:c r="J4" s="99"/>
      <x:c r="K4" s="99"/>
      <x:c r="L4" s="99"/>
      <x:c r="M4" s="99"/>
    </x:row>
    <x:row r="5">
      <x:c r="A5" s="244" t="str">
        <x:v>Key KPI</x:v>
      </x:c>
      <x:c r="B5" s="244" t="str">
        <x:v>FY2023</x:v>
      </x:c>
      <x:c r="C5" s="244" t="str">
        <x:v>FY2024</x:v>
      </x:c>
      <x:c r="D5" s="244" t="str">
        <x:v>FY2025</x:v>
      </x:c>
      <x:c r="E5" s="99"/>
      <x:c r="F5" s="99"/>
      <x:c r="G5" s="99"/>
      <x:c r="H5" s="99"/>
      <x:c r="I5" s="99"/>
      <x:c r="J5" s="99"/>
      <x:c r="K5" s="99"/>
      <x:c r="L5" s="99"/>
      <x:c r="M5" s="99"/>
    </x:row>
    <x:row r="6">
      <x:c r="A6" s="230" t="str">
        <x:v>Revenue (£m)</x:v>
      </x:c>
      <x:c r="B6" s="246" t="n">
        <x:f>'P&amp;L 2023-25'!B6</x:f>
        <x:v>25616.9</x:v>
      </x:c>
      <x:c r="C6" s="246" t="n">
        <x:f>'P&amp;L 2023-25'!C6</x:f>
        <x:v>26846.6</x:v>
      </x:c>
      <x:c r="D6" s="246" t="n">
        <x:f>'P&amp;L 2023-25'!D6</x:f>
        <x:v>25878</x:v>
      </x:c>
      <x:c r="E6" s="99"/>
      <x:c r="F6" s="99"/>
      <x:c r="G6" s="99"/>
      <x:c r="H6" s="99"/>
      <x:c r="I6" s="99"/>
      <x:c r="J6" s="99"/>
      <x:c r="K6" s="99"/>
      <x:c r="L6" s="99"/>
      <x:c r="M6" s="99"/>
    </x:row>
    <x:row r="7">
      <x:c r="A7" s="230" t="str">
        <x:v>Operating profit/(loss) (£m)</x:v>
      </x:c>
      <x:c r="B7" s="246" t="n">
        <x:f>'P&amp;L 2023-25'!B11</x:f>
        <x:v>568.6</x:v>
      </x:c>
      <x:c r="C7" s="246" t="n">
        <x:f>'P&amp;L 2023-25'!C11</x:f>
        <x:v>-43.6</x:v>
      </x:c>
      <x:c r="D7" s="246" t="n">
        <x:f>'P&amp;L 2023-25'!D11</x:f>
        <x:v>-351.4</x:v>
      </x:c>
      <x:c r="E7" s="99"/>
      <x:c r="F7" s="99"/>
      <x:c r="G7" s="99"/>
      <x:c r="H7" s="99"/>
      <x:c r="I7" s="99"/>
      <x:c r="J7" s="99"/>
      <x:c r="K7" s="99"/>
      <x:c r="L7" s="99"/>
      <x:c r="M7" s="99"/>
    </x:row>
    <x:row r="8">
      <x:c r="A8" s="230" t="str">
        <x:v>Net profit/(loss) (£m)</x:v>
      </x:c>
      <x:c r="B8" s="246" t="n">
        <x:f>'P&amp;L 2023-25'!B13</x:f>
        <x:v>194.5</x:v>
      </x:c>
      <x:c r="C8" s="246" t="n">
        <x:f>'P&amp;L 2023-25'!C13</x:f>
        <x:v>-487.2</x:v>
      </x:c>
      <x:c r="D8" s="246" t="n">
        <x:f>'P&amp;L 2023-25'!D13</x:f>
        <x:v>-716.2</x:v>
      </x:c>
      <x:c r="E8" s="99"/>
      <x:c r="F8" s="99"/>
      <x:c r="G8" s="99"/>
      <x:c r="H8" s="99"/>
      <x:c r="I8" s="99"/>
      <x:c r="J8" s="99"/>
      <x:c r="K8" s="99"/>
      <x:c r="L8" s="99"/>
      <x:c r="M8" s="99"/>
    </x:row>
    <x:row r="9">
      <x:c r="A9" s="230" t="str">
        <x:v>Operating cash flow (£m)</x:v>
      </x:c>
      <x:c r="B9" s="246" t="n">
        <x:f>'CF 2023-25'!B6</x:f>
        <x:v>1245.8</x:v>
      </x:c>
      <x:c r="C9" s="246" t="n">
        <x:f>'CF 2023-25'!C6</x:f>
        <x:v>991.1</x:v>
      </x:c>
      <x:c r="D9" s="246" t="n">
        <x:f>'CF 2023-25'!D6</x:f>
        <x:v>1235.2</x:v>
      </x:c>
      <x:c r="E9" s="99"/>
      <x:c r="F9" s="99"/>
      <x:c r="G9" s="99"/>
      <x:c r="H9" s="99"/>
      <x:c r="I9" s="99"/>
      <x:c r="J9" s="99"/>
      <x:c r="K9" s="99"/>
      <x:c r="L9" s="99"/>
      <x:c r="M9" s="99"/>
    </x:row>
    <x:row r="10">
      <x:c r="A10" s="230" t="str">
        <x:v>Operating margin</x:v>
      </x:c>
      <x:c r="B10" s="245" t="n">
        <x:f>'Ratio Analysis'!B9</x:f>
        <x:v>0.02219628448407106</x:v>
      </x:c>
      <x:c r="C10" s="245" t="n">
        <x:f>'Ratio Analysis'!C9</x:f>
        <x:v>-0.0016240417781022553</x:v>
      </x:c>
      <x:c r="D10" s="245" t="n">
        <x:f>'Ratio Analysis'!D9</x:f>
        <x:v>-0.013579101939871704</x:v>
      </x:c>
      <x:c r="E10" s="99"/>
      <x:c r="F10" s="99"/>
      <x:c r="G10" s="99"/>
      <x:c r="H10" s="99"/>
      <x:c r="I10" s="99"/>
      <x:c r="J10" s="99"/>
      <x:c r="K10" s="99"/>
      <x:c r="L10" s="99"/>
      <x:c r="M10" s="99"/>
    </x:row>
    <x:row r="11">
      <x:c r="A11" s="230" t="str">
        <x:v>ROCE</x:v>
      </x:c>
      <x:c r="B11" s="245" t="n">
        <x:f>'Ratio Analysis'!B11</x:f>
        <x:v>0.04637997977095501</x:v>
      </x:c>
      <x:c r="C11" s="245" t="n">
        <x:f>'Ratio Analysis'!C11</x:f>
        <x:v>-0.003696168192607664</x:v>
      </x:c>
      <x:c r="D11" s="245" t="n">
        <x:f>'Ratio Analysis'!D11</x:f>
        <x:v>-0.032368004126598134</x:v>
      </x:c>
      <x:c r="E11" s="99"/>
      <x:c r="F11" s="99"/>
      <x:c r="G11" s="99"/>
      <x:c r="H11" s="99"/>
      <x:c r="I11" s="99"/>
      <x:c r="J11" s="99"/>
      <x:c r="K11" s="99"/>
      <x:c r="L11" s="99"/>
      <x:c r="M11" s="99"/>
    </x:row>
    <x:row r="12">
      <x:c r="A12" s="230" t="str">
        <x:v>Current ratio</x:v>
      </x:c>
      <x:c r="B12" s="247" t="n">
        <x:f>'Ratio Analysis'!B16</x:f>
        <x:v>0.5708552277711118</x:v>
      </x:c>
      <x:c r="C12" s="247" t="n">
        <x:f>'Ratio Analysis'!C16</x:f>
        <x:v>0.5312493417310892</x:v>
      </x:c>
      <x:c r="D12" s="247" t="n">
        <x:f>'Ratio Analysis'!D16</x:f>
        <x:v>0.5858960364361803</x:v>
      </x:c>
      <x:c r="E12" s="99"/>
      <x:c r="F12" s="99"/>
      <x:c r="G12" s="99"/>
      <x:c r="H12" s="99"/>
      <x:c r="I12" s="99"/>
      <x:c r="J12" s="99"/>
      <x:c r="K12" s="99"/>
      <x:c r="L12" s="99"/>
      <x:c r="M12" s="99"/>
    </x:row>
    <x:row r="13">
      <x:c r="A13" s="99"/>
      <x:c r="B13" s="99"/>
      <x:c r="C13" s="99"/>
      <x:c r="D13" s="99"/>
      <x:c r="E13" s="99"/>
      <x:c r="F13" s="99"/>
      <x:c r="G13" s="99"/>
      <x:c r="H13" s="99"/>
      <x:c r="I13" s="99"/>
      <x:c r="J13" s="99"/>
      <x:c r="K13" s="99"/>
      <x:c r="L13" s="99"/>
      <x:c r="M13" s="99"/>
    </x:row>
    <x:row r="14">
      <x:c r="A14" s="99"/>
      <x:c r="B14" s="99"/>
      <x:c r="C14" s="99"/>
      <x:c r="D14" s="99"/>
      <x:c r="E14" s="99"/>
      <x:c r="F14" s="99"/>
      <x:c r="G14" s="99"/>
      <x:c r="H14" s="99"/>
      <x:c r="I14" s="99"/>
      <x:c r="J14" s="99"/>
      <x:c r="K14" s="99"/>
      <x:c r="L14" s="99"/>
      <x:c r="M14" s="99"/>
    </x:row>
    <x:row r="15">
      <x:c r="A15" s="99"/>
      <x:c r="B15" s="99"/>
      <x:c r="C15" s="99"/>
      <x:c r="D15" s="99"/>
      <x:c r="E15" s="99"/>
      <x:c r="F15" s="99"/>
      <x:c r="G15" s="99"/>
      <x:c r="H15" s="99"/>
      <x:c r="I15" s="99"/>
      <x:c r="J15" s="99"/>
      <x:c r="K15" s="99"/>
      <x:c r="L15" s="99"/>
      <x:c r="M15" s="99"/>
    </x:row>
    <x:row r="16">
      <x:c r="A16" s="99"/>
      <x:c r="B16" s="99"/>
      <x:c r="C16" s="99"/>
      <x:c r="D16" s="99"/>
      <x:c r="E16" s="99"/>
      <x:c r="F16" s="99"/>
      <x:c r="G16" s="99"/>
      <x:c r="H16" s="99"/>
      <x:c r="I16" s="99"/>
      <x:c r="J16" s="99"/>
      <x:c r="K16" s="99"/>
      <x:c r="L16" s="99"/>
      <x:c r="M16" s="99"/>
    </x:row>
    <x:row r="17">
      <x:c r="A17" s="99"/>
      <x:c r="B17" s="99"/>
      <x:c r="C17" s="99"/>
      <x:c r="D17" s="99"/>
      <x:c r="E17" s="99"/>
      <x:c r="F17" s="99"/>
      <x:c r="G17" s="99"/>
      <x:c r="H17" s="99"/>
      <x:c r="I17" s="99"/>
      <x:c r="J17" s="99"/>
      <x:c r="K17" s="99"/>
      <x:c r="L17" s="99"/>
      <x:c r="M17" s="99"/>
    </x:row>
    <x:row r="18">
      <x:c r="A18" s="99"/>
      <x:c r="B18" s="99"/>
      <x:c r="C18" s="99"/>
      <x:c r="D18" s="99"/>
      <x:c r="E18" s="99"/>
      <x:c r="F18" s="99"/>
      <x:c r="G18" s="99"/>
      <x:c r="H18" s="99"/>
      <x:c r="I18" s="99"/>
      <x:c r="J18" s="99"/>
      <x:c r="K18" s="99"/>
      <x:c r="L18" s="99"/>
      <x:c r="M18" s="99"/>
    </x:row>
    <x:row r="19">
      <x:c r="A19" s="99"/>
      <x:c r="B19" s="99"/>
      <x:c r="C19" s="99"/>
      <x:c r="D19" s="99"/>
      <x:c r="E19" s="99"/>
      <x:c r="F19" s="99"/>
      <x:c r="G19" s="99"/>
      <x:c r="H19" s="99"/>
      <x:c r="I19" s="99"/>
      <x:c r="J19" s="99"/>
      <x:c r="K19" s="99"/>
      <x:c r="L19" s="99"/>
      <x:c r="M19" s="99"/>
    </x:row>
    <x:row r="20">
      <x:c r="A20" s="99"/>
      <x:c r="B20" s="99"/>
      <x:c r="C20" s="99"/>
      <x:c r="D20" s="99"/>
      <x:c r="E20" s="99"/>
      <x:c r="F20" s="99"/>
      <x:c r="G20" s="99"/>
      <x:c r="H20" s="99"/>
      <x:c r="I20" s="99"/>
      <x:c r="J20" s="99"/>
      <x:c r="K20" s="99"/>
      <x:c r="L20" s="99"/>
      <x:c r="M20" s="99"/>
    </x:row>
    <x:row r="21">
      <x:c r="A21" s="99"/>
      <x:c r="B21" s="99"/>
      <x:c r="C21" s="99"/>
      <x:c r="D21" s="99"/>
      <x:c r="E21" s="99"/>
      <x:c r="F21" s="99"/>
      <x:c r="G21" s="99"/>
      <x:c r="H21" s="99"/>
      <x:c r="I21" s="99"/>
      <x:c r="J21" s="99"/>
      <x:c r="K21" s="99"/>
      <x:c r="L21" s="99"/>
      <x:c r="M21" s="99"/>
    </x:row>
    <x:row r="22">
      <x:c r="A22" s="99"/>
      <x:c r="B22" s="99"/>
      <x:c r="C22" s="99"/>
      <x:c r="D22" s="99"/>
      <x:c r="E22" s="99"/>
      <x:c r="F22" s="99"/>
      <x:c r="G22" s="99"/>
      <x:c r="H22" s="99"/>
      <x:c r="I22" s="99"/>
      <x:c r="J22" s="99"/>
      <x:c r="K22" s="99"/>
      <x:c r="L22" s="99"/>
      <x:c r="M22" s="99"/>
    </x:row>
    <x:row r="23">
      <x:c r="A23" s="99"/>
      <x:c r="B23" s="99"/>
      <x:c r="C23" s="99"/>
      <x:c r="D23" s="99"/>
      <x:c r="E23" s="99"/>
      <x:c r="F23" s="99"/>
      <x:c r="G23" s="99"/>
      <x:c r="H23" s="99"/>
      <x:c r="I23" s="99"/>
      <x:c r="J23" s="99"/>
      <x:c r="K23" s="99"/>
      <x:c r="L23" s="99"/>
      <x:c r="M23" s="99"/>
    </x:row>
    <x:row r="24">
      <x:c r="A24" s="99"/>
      <x:c r="B24" s="99"/>
      <x:c r="C24" s="99"/>
      <x:c r="D24" s="99"/>
      <x:c r="E24" s="99"/>
      <x:c r="F24" s="99"/>
      <x:c r="G24" s="99"/>
      <x:c r="H24" s="99"/>
      <x:c r="I24" s="99"/>
      <x:c r="J24" s="99"/>
      <x:c r="K24" s="99"/>
      <x:c r="L24" s="99"/>
      <x:c r="M24" s="99"/>
    </x:row>
    <x:row r="25">
      <x:c r="A25" s="99"/>
      <x:c r="B25" s="99"/>
      <x:c r="C25" s="99"/>
      <x:c r="D25" s="99"/>
      <x:c r="E25" s="99"/>
      <x:c r="F25" s="99"/>
      <x:c r="G25" s="99"/>
      <x:c r="H25" s="99"/>
      <x:c r="I25" s="99"/>
      <x:c r="J25" s="99"/>
      <x:c r="K25" s="99"/>
      <x:c r="L25" s="99"/>
      <x:c r="M25" s="99"/>
    </x:row>
    <x:row r="26">
      <x:c r="A26" s="99"/>
      <x:c r="B26" s="99"/>
      <x:c r="C26" s="99"/>
      <x:c r="D26" s="99"/>
      <x:c r="E26" s="99"/>
      <x:c r="F26" s="99"/>
      <x:c r="G26" s="99"/>
      <x:c r="H26" s="99"/>
      <x:c r="I26" s="99"/>
      <x:c r="J26" s="99"/>
      <x:c r="K26" s="99"/>
      <x:c r="L26" s="99"/>
      <x:c r="M26" s="99"/>
    </x:row>
    <x:row r="27">
      <x:c r="A27" s="99"/>
      <x:c r="B27" s="99"/>
      <x:c r="C27" s="99"/>
      <x:c r="D27" s="99"/>
      <x:c r="E27" s="99"/>
      <x:c r="F27" s="99"/>
      <x:c r="G27" s="99"/>
      <x:c r="H27" s="99"/>
      <x:c r="I27" s="99"/>
      <x:c r="J27" s="99"/>
      <x:c r="K27" s="99"/>
      <x:c r="L27" s="99"/>
      <x:c r="M27" s="99"/>
    </x:row>
    <x:row r="28">
      <x:c r="A28" s="99"/>
      <x:c r="B28" s="99"/>
      <x:c r="C28" s="99"/>
      <x:c r="D28" s="99"/>
      <x:c r="E28" s="99"/>
      <x:c r="F28" s="99"/>
      <x:c r="G28" s="99"/>
      <x:c r="H28" s="99"/>
      <x:c r="I28" s="99"/>
      <x:c r="J28" s="99"/>
      <x:c r="K28" s="99"/>
      <x:c r="L28" s="99"/>
      <x:c r="M28" s="99"/>
    </x:row>
    <x:row r="29">
      <x:c r="A29" s="99"/>
      <x:c r="B29" s="99"/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  <x:c r="M29" s="99"/>
    </x:row>
    <x:row r="30">
      <x:c r="A30" s="99"/>
      <x:c r="B30" s="99"/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  <x:c r="M30" s="99"/>
    </x:row>
    <x:row r="31">
      <x:c r="A31" s="99"/>
      <x:c r="B31" s="99"/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  <x:c r="M31" s="99"/>
    </x:row>
    <x:row r="32">
      <x:c r="A32" s="99"/>
      <x:c r="B32" s="99"/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  <x:c r="M32" s="99"/>
    </x:row>
    <x:row r="33">
      <x:c r="A33" s="99"/>
      <x:c r="B33" s="99"/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  <x:c r="M33" s="99"/>
    </x:row>
    <x:row r="34">
      <x:c r="A34" s="99"/>
      <x:c r="B34" s="99"/>
      <x:c r="C34" s="99"/>
      <x:c r="D34" s="99"/>
      <x:c r="E34" s="99"/>
      <x:c r="F34" s="99"/>
      <x:c r="G34" s="99"/>
      <x:c r="H34" s="99"/>
      <x:c r="I34" s="99"/>
      <x:c r="J34" s="99"/>
      <x:c r="K34" s="99"/>
      <x:c r="L34" s="99"/>
      <x:c r="M34" s="99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</x:row>
    <x:row r="38">
      <x:c r="A38" s="99"/>
      <x:c r="B38" s="99"/>
      <x:c r="C38" s="99"/>
      <x:c r="D38" s="99"/>
      <x:c r="E38" s="99"/>
      <x:c r="F38" s="99"/>
      <x:c r="G38" s="99"/>
      <x:c r="H38" s="99"/>
      <x:c r="I38" s="99"/>
      <x:c r="J38" s="99"/>
      <x:c r="K38" s="99"/>
      <x:c r="L38" s="99"/>
      <x:c r="M38" s="99"/>
    </x:row>
    <x:row r="39">
      <x:c r="A39" s="99"/>
      <x:c r="B39" s="99"/>
      <x:c r="C39" s="99"/>
      <x:c r="D39" s="99"/>
      <x:c r="E39" s="99"/>
      <x:c r="F39" s="99"/>
      <x:c r="G39" s="99"/>
      <x:c r="H39" s="99"/>
      <x:c r="I39" s="99"/>
      <x:c r="J39" s="99"/>
      <x:c r="K39" s="99"/>
      <x:c r="L39" s="99"/>
      <x:c r="M39" s="99"/>
    </x:row>
    <x:row r="40">
      <x:c r="A40" s="99"/>
      <x:c r="B40" s="99"/>
      <x:c r="C40" s="99"/>
      <x:c r="D40" s="99"/>
      <x:c r="E40" s="99"/>
      <x:c r="F40" s="99"/>
      <x:c r="G40" s="99"/>
      <x:c r="H40" s="99"/>
      <x:c r="I40" s="99"/>
      <x:c r="J40" s="99"/>
      <x:c r="K40" s="99"/>
      <x:c r="L40" s="99"/>
      <x:c r="M40" s="99"/>
    </x:row>
  </x:sheetData>
  <x:mergeCells>
    <x:mergeCell ref="A1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4" hidden="0" customWidth="1"/>
    <x:col min="3" max="3" width="45" hidden="0" customWidth="1"/>
    <x:col min="4" max="4" width="28" hidden="0" customWidth="1"/>
    <x:col min="5" max="5" width="38" hidden="0" customWidth="1"/>
  </x:cols>
  <x:sheetData>
    <x:row r="1" ht="24" customHeight="1">
      <x:c r="A1" s="248" t="str">
        <x:v>Asda Group Limited</x:v>
      </x:c>
      <x:c r="B1" s="248"/>
      <x:c r="C1" s="248"/>
      <x:c r="D1" s="248"/>
      <x:c r="E1" s="248"/>
      <x:c r="F1" s="99"/>
      <x:c r="G1" s="99"/>
      <x:c r="H1" s="99"/>
      <x:c r="I1" s="99"/>
      <x:c r="J1" s="99"/>
      <x:c r="K1" s="99"/>
      <x:c r="L1" s="99"/>
      <x:c r="M1" s="99"/>
    </x:row>
    <x:row r="2" ht="24" customHeight="1">
      <x:c r="A2" s="248"/>
      <x:c r="B2" s="248"/>
      <x:c r="C2" s="248"/>
      <x:c r="D2" s="248"/>
      <x:c r="E2" s="248"/>
      <x:c r="F2" s="99"/>
      <x:c r="G2" s="99"/>
      <x:c r="H2" s="99"/>
      <x:c r="I2" s="99"/>
      <x:c r="J2" s="99"/>
      <x:c r="K2" s="99"/>
      <x:c r="L2" s="99"/>
      <x:c r="M2" s="99"/>
    </x:row>
    <x:row r="3" ht="24" customHeight="1">
      <x:c r="A3" s="248" t="str">
        <x:v>Sources &amp; Methodology</x:v>
      </x:c>
      <x:c r="B3" s="248"/>
      <x:c r="C3" s="248"/>
      <x:c r="D3" s="248"/>
      <x:c r="E3" s="248"/>
      <x:c r="F3" s="99"/>
      <x:c r="G3" s="99"/>
      <x:c r="H3" s="99"/>
      <x:c r="I3" s="99"/>
      <x:c r="J3" s="99"/>
      <x:c r="K3" s="99"/>
      <x:c r="L3" s="99"/>
      <x:c r="M3" s="99"/>
    </x:row>
    <x:row r="4">
      <x:c r="A4" s="249"/>
      <x:c r="B4" s="249"/>
      <x:c r="C4" s="249"/>
      <x:c r="D4" s="249"/>
      <x:c r="E4" s="249"/>
      <x:c r="F4" s="99"/>
      <x:c r="G4" s="99"/>
      <x:c r="H4" s="99"/>
      <x:c r="I4" s="99"/>
      <x:c r="J4" s="99"/>
      <x:c r="K4" s="99"/>
      <x:c r="L4" s="99"/>
      <x:c r="M4" s="99"/>
    </x:row>
    <x:row r="5">
      <x:c r="A5" s="250" t="str">
        <x:v>Source</x:v>
      </x:c>
      <x:c r="B5" s="250" t="str">
        <x:v>Period</x:v>
      </x:c>
      <x:c r="C5" s="250" t="str">
        <x:v>Key pages</x:v>
      </x:c>
      <x:c r="D5" s="250" t="str">
        <x:v>Use</x:v>
      </x:c>
      <x:c r="E5" s="250" t="str">
        <x:v>URL</x:v>
      </x:c>
      <x:c r="F5" s="99"/>
      <x:c r="G5" s="99"/>
      <x:c r="H5" s="99"/>
      <x:c r="I5" s="99"/>
      <x:c r="J5" s="99"/>
      <x:c r="K5" s="99"/>
      <x:c r="L5" s="99"/>
      <x:c r="M5" s="99"/>
    </x:row>
    <x:row r="6">
      <x:c r="A6" s="249" t="str">
        <x:v>Bellis Finco PLC Annual Report and Consolidated Financial Statements 2023</x:v>
      </x:c>
      <x:c r="B6" s="249" t="str">
        <x:v>FY2023</x:v>
      </x:c>
      <x:c r="C6" s="249" t="str">
        <x:v>Income Statement p.88; Balance Sheet p.90; Cash Flow pp.94 to 95</x:v>
      </x:c>
      <x:c r="D6" s="249" t="str">
        <x:v>FY2023 financial inputs</x:v>
      </x:c>
      <x:c r="E6" s="249" t="str">
        <x:v>https://corporate.asda.com/investor-relations</x:v>
      </x:c>
      <x:c r="F6" s="99"/>
      <x:c r="G6" s="99"/>
      <x:c r="H6" s="99"/>
      <x:c r="I6" s="99"/>
      <x:c r="J6" s="99"/>
      <x:c r="K6" s="99"/>
      <x:c r="L6" s="99"/>
      <x:c r="M6" s="99"/>
    </x:row>
    <x:row r="7">
      <x:c r="A7" s="249" t="str">
        <x:v>Bellis Finco PLC Annual Report and Consolidated Financial Statements 2024</x:v>
      </x:c>
      <x:c r="B7" s="249" t="str">
        <x:v>FY2024</x:v>
      </x:c>
      <x:c r="C7" s="249" t="str">
        <x:v>Income Statement p.89; Balance Sheet p.91; Cash Flow pp.94 to 95</x:v>
      </x:c>
      <x:c r="D7" s="249" t="str">
        <x:v>FY2024 financial inputs</x:v>
      </x:c>
      <x:c r="E7" s="249" t="str">
        <x:v>https://corporate.asda.com/investor-relations</x:v>
      </x:c>
      <x:c r="F7" s="99"/>
      <x:c r="G7" s="99"/>
      <x:c r="H7" s="99"/>
      <x:c r="I7" s="99"/>
      <x:c r="J7" s="99"/>
      <x:c r="K7" s="99"/>
      <x:c r="L7" s="99"/>
      <x:c r="M7" s="99"/>
    </x:row>
    <x:row r="8">
      <x:c r="A8" s="249" t="str">
        <x:v>Bellis Finco PLC Full Annual Report and Financial Statements 2025</x:v>
      </x:c>
      <x:c r="B8" s="249" t="str">
        <x:v>FY2025</x:v>
      </x:c>
      <x:c r="C8" s="249" t="str">
        <x:v>Income Statement p.98; Balance Sheet p.100; Cash Flow p.103</x:v>
      </x:c>
      <x:c r="D8" s="249" t="str">
        <x:v>FY2025 financial inputs</x:v>
      </x:c>
      <x:c r="E8" s="249" t="str">
        <x:v>https://corporate.asda.com/investor-relations</x:v>
      </x:c>
      <x:c r="F8" s="99"/>
      <x:c r="G8" s="99"/>
      <x:c r="H8" s="99"/>
      <x:c r="I8" s="99"/>
      <x:c r="J8" s="99"/>
      <x:c r="K8" s="99"/>
      <x:c r="L8" s="99"/>
      <x:c r="M8" s="99"/>
    </x:row>
    <x:row r="9">
      <x:c r="A9" s="249"/>
      <x:c r="B9" s="249"/>
      <x:c r="C9" s="249"/>
      <x:c r="D9" s="249"/>
      <x:c r="E9" s="249"/>
      <x:c r="F9" s="99"/>
      <x:c r="G9" s="99"/>
      <x:c r="H9" s="99"/>
      <x:c r="I9" s="99"/>
      <x:c r="J9" s="99"/>
      <x:c r="K9" s="99"/>
      <x:c r="L9" s="99"/>
      <x:c r="M9" s="99"/>
    </x:row>
    <x:row r="10">
      <x:c r="A10" s="250" t="str">
        <x:v>Methodology</x:v>
      </x:c>
      <x:c r="B10" s="250" t="str">
        <x:v>Definition / approach</x:v>
      </x:c>
      <x:c r="C10" s="249"/>
      <x:c r="D10" s="249"/>
      <x:c r="E10" s="249"/>
      <x:c r="F10" s="99"/>
      <x:c r="G10" s="99"/>
      <x:c r="H10" s="99"/>
      <x:c r="I10" s="99"/>
      <x:c r="J10" s="99"/>
      <x:c r="K10" s="99"/>
      <x:c r="L10" s="99"/>
      <x:c r="M10" s="99"/>
    </x:row>
    <x:row r="11">
      <x:c r="A11" s="249" t="str">
        <x:v>Revenue growth</x:v>
      </x:c>
      <x:c r="B11" s="249" t="str">
        <x:v>(New revenue less old revenue) / old revenue</x:v>
      </x:c>
      <x:c r="C11" s="249"/>
      <x:c r="D11" s="249"/>
      <x:c r="E11" s="249"/>
      <x:c r="F11" s="99"/>
      <x:c r="G11" s="99"/>
      <x:c r="H11" s="99"/>
      <x:c r="I11" s="99"/>
      <x:c r="J11" s="99"/>
      <x:c r="K11" s="99"/>
      <x:c r="L11" s="99"/>
      <x:c r="M11" s="99"/>
    </x:row>
    <x:row r="12">
      <x:c r="A12" s="249" t="str">
        <x:v>Gross margin</x:v>
      </x:c>
      <x:c r="B12" s="249" t="str">
        <x:v>Gross profit / Revenue</x:v>
      </x:c>
      <x:c r="C12" s="249"/>
      <x:c r="D12" s="249"/>
      <x:c r="E12" s="249"/>
      <x:c r="F12" s="99"/>
      <x:c r="G12" s="99"/>
      <x:c r="H12" s="99"/>
      <x:c r="I12" s="99"/>
      <x:c r="J12" s="99"/>
      <x:c r="K12" s="99"/>
      <x:c r="L12" s="99"/>
      <x:c r="M12" s="99"/>
    </x:row>
    <x:row r="13">
      <x:c r="A13" s="249" t="str">
        <x:v>ROE</x:v>
      </x:c>
      <x:c r="B13" s="249" t="str">
        <x:v>Profit/(loss) for year / closing total equity</x:v>
      </x:c>
      <x:c r="C13" s="249"/>
      <x:c r="D13" s="249"/>
      <x:c r="E13" s="249"/>
      <x:c r="F13" s="99"/>
      <x:c r="G13" s="99"/>
      <x:c r="H13" s="99"/>
      <x:c r="I13" s="99"/>
      <x:c r="J13" s="99"/>
      <x:c r="K13" s="99"/>
      <x:c r="L13" s="99"/>
      <x:c r="M13" s="99"/>
    </x:row>
    <x:row r="14">
      <x:c r="A14" s="249" t="str">
        <x:v>ROCE</x:v>
      </x:c>
      <x:c r="B14" s="249" t="str">
        <x:v>Operating profit/(loss) / closing capital employed</x:v>
      </x:c>
      <x:c r="C14" s="249"/>
      <x:c r="D14" s="249"/>
      <x:c r="E14" s="249"/>
      <x:c r="F14" s="99"/>
      <x:c r="G14" s="99"/>
      <x:c r="H14" s="99"/>
      <x:c r="I14" s="99"/>
      <x:c r="J14" s="99"/>
      <x:c r="K14" s="99"/>
      <x:c r="L14" s="99"/>
      <x:c r="M14" s="99"/>
    </x:row>
    <x:row r="15">
      <x:c r="A15" s="249" t="str">
        <x:v>Current ratio</x:v>
      </x:c>
      <x:c r="B15" s="249" t="str">
        <x:v>Current assets incl. held for sale / current liabilities incl. held for sale</x:v>
      </x:c>
      <x:c r="C15" s="249"/>
      <x:c r="D15" s="249"/>
      <x:c r="E15" s="249"/>
      <x:c r="F15" s="99"/>
      <x:c r="G15" s="99"/>
      <x:c r="H15" s="99"/>
      <x:c r="I15" s="99"/>
      <x:c r="J15" s="99"/>
      <x:c r="K15" s="99"/>
      <x:c r="L15" s="99"/>
      <x:c r="M15" s="99"/>
    </x:row>
    <x:row r="16">
      <x:c r="A16" s="249" t="str">
        <x:v>Quick ratio</x:v>
      </x:c>
      <x:c r="B16" s="249" t="str">
        <x:v>(Current assets incl. held for sale less inventories) / current liabilities incl. held for sale</x:v>
      </x:c>
      <x:c r="C16" s="249"/>
      <x:c r="D16" s="249"/>
      <x:c r="E16" s="249"/>
      <x:c r="F16" s="99"/>
      <x:c r="G16" s="99"/>
      <x:c r="H16" s="99"/>
      <x:c r="I16" s="99"/>
      <x:c r="J16" s="99"/>
      <x:c r="K16" s="99"/>
      <x:c r="L16" s="99"/>
      <x:c r="M16" s="99"/>
    </x:row>
    <x:row r="17">
      <x:c r="A17" s="249" t="str">
        <x:v>Asset turnover</x:v>
      </x:c>
      <x:c r="B17" s="249" t="str">
        <x:v>Revenue / closing total assets</x:v>
      </x:c>
      <x:c r="C17" s="249"/>
      <x:c r="D17" s="249"/>
      <x:c r="E17" s="249"/>
      <x:c r="F17" s="99"/>
      <x:c r="G17" s="99"/>
      <x:c r="H17" s="99"/>
      <x:c r="I17" s="99"/>
      <x:c r="J17" s="99"/>
      <x:c r="K17" s="99"/>
      <x:c r="L17" s="99"/>
      <x:c r="M17" s="99"/>
    </x:row>
    <x:row r="18">
      <x:c r="A18" s="249" t="str">
        <x:v>Inventory turnover</x:v>
      </x:c>
      <x:c r="B18" s="249" t="str">
        <x:v>Absolute cost of goods sold / closing inventories</x:v>
      </x:c>
      <x:c r="C18" s="249"/>
      <x:c r="D18" s="249"/>
      <x:c r="E18" s="249"/>
      <x:c r="F18" s="99"/>
      <x:c r="G18" s="99"/>
      <x:c r="H18" s="99"/>
      <x:c r="I18" s="99"/>
      <x:c r="J18" s="99"/>
      <x:c r="K18" s="99"/>
      <x:c r="L18" s="99"/>
      <x:c r="M18" s="99"/>
    </x:row>
    <x:row r="19">
      <x:c r="A19" s="177"/>
      <x:c r="B19" s="177"/>
      <x:c r="C19" s="177"/>
      <x:c r="D19" s="177"/>
      <x:c r="E19" s="177"/>
      <x:c r="F19" s="99"/>
      <x:c r="G19" s="99"/>
      <x:c r="H19" s="99"/>
      <x:c r="I19" s="99"/>
      <x:c r="J19" s="99"/>
      <x:c r="K19" s="99"/>
      <x:c r="L19" s="99"/>
      <x:c r="M19" s="99"/>
    </x:row>
    <x:row r="20">
      <x:c r="A20" s="177"/>
      <x:c r="B20" s="177"/>
      <x:c r="C20" s="177"/>
      <x:c r="D20" s="177"/>
      <x:c r="E20" s="177"/>
      <x:c r="F20" s="99"/>
      <x:c r="G20" s="99"/>
      <x:c r="H20" s="99"/>
      <x:c r="I20" s="99"/>
      <x:c r="J20" s="99"/>
      <x:c r="K20" s="99"/>
      <x:c r="L20" s="99"/>
      <x:c r="M20" s="99"/>
    </x:row>
    <x:row r="21">
      <x:c r="A21" s="99"/>
      <x:c r="B21" s="99"/>
      <x:c r="C21" s="99"/>
      <x:c r="D21" s="99"/>
      <x:c r="E21" s="99"/>
      <x:c r="F21" s="99"/>
      <x:c r="G21" s="99"/>
      <x:c r="H21" s="99"/>
      <x:c r="I21" s="99"/>
      <x:c r="J21" s="99"/>
      <x:c r="K21" s="99"/>
      <x:c r="L21" s="99"/>
      <x:c r="M21" s="99"/>
    </x:row>
    <x:row r="22">
      <x:c r="A22" s="99"/>
      <x:c r="B22" s="99"/>
      <x:c r="C22" s="99"/>
      <x:c r="D22" s="99"/>
      <x:c r="E22" s="99"/>
      <x:c r="F22" s="99"/>
      <x:c r="G22" s="99"/>
      <x:c r="H22" s="99"/>
      <x:c r="I22" s="99"/>
      <x:c r="J22" s="99"/>
      <x:c r="K22" s="99"/>
      <x:c r="L22" s="99"/>
      <x:c r="M22" s="99"/>
    </x:row>
    <x:row r="23">
      <x:c r="A23" s="99"/>
      <x:c r="B23" s="99"/>
      <x:c r="C23" s="99"/>
      <x:c r="D23" s="99"/>
      <x:c r="E23" s="99"/>
      <x:c r="F23" s="99"/>
      <x:c r="G23" s="99"/>
      <x:c r="H23" s="99"/>
      <x:c r="I23" s="99"/>
      <x:c r="J23" s="99"/>
      <x:c r="K23" s="99"/>
      <x:c r="L23" s="99"/>
      <x:c r="M23" s="99"/>
    </x:row>
    <x:row r="24">
      <x:c r="A24" s="99"/>
      <x:c r="B24" s="99"/>
      <x:c r="C24" s="99"/>
      <x:c r="D24" s="99"/>
      <x:c r="E24" s="99"/>
      <x:c r="F24" s="99"/>
      <x:c r="G24" s="99"/>
      <x:c r="H24" s="99"/>
      <x:c r="I24" s="99"/>
      <x:c r="J24" s="99"/>
      <x:c r="K24" s="99"/>
      <x:c r="L24" s="99"/>
      <x:c r="M24" s="99"/>
    </x:row>
    <x:row r="25">
      <x:c r="A25" s="99"/>
      <x:c r="B25" s="99"/>
      <x:c r="C25" s="99"/>
      <x:c r="D25" s="99"/>
      <x:c r="E25" s="99"/>
      <x:c r="F25" s="99"/>
      <x:c r="G25" s="99"/>
      <x:c r="H25" s="99"/>
      <x:c r="I25" s="99"/>
      <x:c r="J25" s="99"/>
      <x:c r="K25" s="99"/>
      <x:c r="L25" s="99"/>
      <x:c r="M25" s="99"/>
    </x:row>
    <x:row r="26">
      <x:c r="A26" s="99"/>
      <x:c r="B26" s="99"/>
      <x:c r="C26" s="99"/>
      <x:c r="D26" s="99"/>
      <x:c r="E26" s="99"/>
      <x:c r="F26" s="99"/>
      <x:c r="G26" s="99"/>
      <x:c r="H26" s="99"/>
      <x:c r="I26" s="99"/>
      <x:c r="J26" s="99"/>
      <x:c r="K26" s="99"/>
      <x:c r="L26" s="99"/>
      <x:c r="M26" s="99"/>
    </x:row>
    <x:row r="27">
      <x:c r="A27" s="99"/>
      <x:c r="B27" s="99"/>
      <x:c r="C27" s="99"/>
      <x:c r="D27" s="99"/>
      <x:c r="E27" s="99"/>
      <x:c r="F27" s="99"/>
      <x:c r="G27" s="99"/>
      <x:c r="H27" s="99"/>
      <x:c r="I27" s="99"/>
      <x:c r="J27" s="99"/>
      <x:c r="K27" s="99"/>
      <x:c r="L27" s="99"/>
      <x:c r="M27" s="99"/>
    </x:row>
    <x:row r="28">
      <x:c r="A28" s="99"/>
      <x:c r="B28" s="99"/>
      <x:c r="C28" s="99"/>
      <x:c r="D28" s="99"/>
      <x:c r="E28" s="99"/>
      <x:c r="F28" s="99"/>
      <x:c r="G28" s="99"/>
      <x:c r="H28" s="99"/>
      <x:c r="I28" s="99"/>
      <x:c r="J28" s="99"/>
      <x:c r="K28" s="99"/>
      <x:c r="L28" s="99"/>
      <x:c r="M28" s="99"/>
    </x:row>
    <x:row r="29">
      <x:c r="A29" s="99"/>
      <x:c r="B29" s="99"/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  <x:c r="M29" s="99"/>
    </x:row>
    <x:row r="30">
      <x:c r="A30" s="99"/>
      <x:c r="B30" s="99"/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  <x:c r="M30" s="99"/>
    </x:row>
    <x:row r="31">
      <x:c r="A31" s="99"/>
      <x:c r="B31" s="99"/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  <x:c r="M31" s="99"/>
    </x:row>
    <x:row r="32">
      <x:c r="A32" s="99"/>
      <x:c r="B32" s="99"/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  <x:c r="M32" s="99"/>
    </x:row>
    <x:row r="33">
      <x:c r="A33" s="99"/>
      <x:c r="B33" s="99"/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  <x:c r="M33" s="99"/>
    </x:row>
    <x:row r="34">
      <x:c r="A34" s="99"/>
      <x:c r="B34" s="99"/>
      <x:c r="C34" s="99"/>
      <x:c r="D34" s="99"/>
      <x:c r="E34" s="99"/>
      <x:c r="F34" s="99"/>
      <x:c r="G34" s="99"/>
      <x:c r="H34" s="99"/>
      <x:c r="I34" s="99"/>
      <x:c r="J34" s="99"/>
      <x:c r="K34" s="99"/>
      <x:c r="L34" s="99"/>
      <x:c r="M34" s="99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</x:row>
    <x:row r="38">
      <x:c r="A38" s="99"/>
      <x:c r="B38" s="99"/>
      <x:c r="C38" s="99"/>
      <x:c r="D38" s="99"/>
      <x:c r="E38" s="99"/>
      <x:c r="F38" s="99"/>
      <x:c r="G38" s="99"/>
      <x:c r="H38" s="99"/>
      <x:c r="I38" s="99"/>
      <x:c r="J38" s="99"/>
      <x:c r="K38" s="99"/>
      <x:c r="L38" s="99"/>
      <x:c r="M38" s="99"/>
    </x:row>
    <x:row r="39">
      <x:c r="A39" s="99"/>
      <x:c r="B39" s="99"/>
      <x:c r="C39" s="99"/>
      <x:c r="D39" s="99"/>
      <x:c r="E39" s="99"/>
      <x:c r="F39" s="99"/>
      <x:c r="G39" s="99"/>
      <x:c r="H39" s="99"/>
      <x:c r="I39" s="99"/>
      <x:c r="J39" s="99"/>
      <x:c r="K39" s="99"/>
      <x:c r="L39" s="99"/>
      <x:c r="M39" s="99"/>
    </x:row>
    <x:row r="40">
      <x:c r="A40" s="99"/>
      <x:c r="B40" s="99"/>
      <x:c r="C40" s="99"/>
      <x:c r="D40" s="99"/>
      <x:c r="E40" s="99"/>
      <x:c r="F40" s="99"/>
      <x:c r="G40" s="99"/>
      <x:c r="H40" s="99"/>
      <x:c r="I40" s="99"/>
      <x:c r="J40" s="99"/>
      <x:c r="K40" s="99"/>
      <x:c r="L40" s="99"/>
      <x:c r="M40" s="99"/>
    </x:row>
  </x:sheetData>
  <x:mergeCells>
    <x:mergeCell ref="A1:E2"/>
    <x:mergeCell ref="A3:E3"/>
  </x:mergeCells>
  <x:pageMargins left="0.7" right="0.7" top="0.75" bottom="0.75" header="0.3" footer="0.3"/>
</x:worksheet>
</file>